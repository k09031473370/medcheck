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tables/table4.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C:\Users\user\Desktop\"/>
    </mc:Choice>
  </mc:AlternateContent>
  <xr:revisionPtr revIDLastSave="0" documentId="13_ncr:1_{76319F21-2AD9-44E0-91A7-A27A62491CE3}" xr6:coauthVersionLast="47" xr6:coauthVersionMax="47" xr10:uidLastSave="{00000000-0000-0000-0000-000000000000}"/>
  <bookViews>
    <workbookView xWindow="-110" yWindow="-110" windowWidth="21820" windowHeight="13900" firstSheet="0" activeTab="0" xr2:uid="{B03EFAA6-9A20-4290-8A32-D313E02E130D}"/>
  </bookViews>
  <sheets>
    <sheet name="表紙" sheetId="21" r:id="rId1"/>
    <sheet name="入力シート" sheetId="10" r:id="rId2"/>
    <sheet name="受診者マスタ" sheetId="6" r:id="rId3"/>
    <sheet name="会社マスタ" sheetId="9" r:id="rId4"/>
    <sheet name="検診コースマスタ" sheetId="2" r:id="rId5"/>
    <sheet name="【原本】雑費請求書" sheetId="12" r:id="rId6"/>
    <sheet name="【原本】受付名簿" sheetId="7" r:id="rId7"/>
  </sheets>
  <functionGroups builtInGroupCount="19"/>
  <definedNames>
    <definedName name="_xleta.VLOOKUP" hidden="1" xlm="1">#NAME?</definedName>
    <definedName name="_xlpm.companies" hidden="1" xlm="1">#NAME?</definedName>
    <definedName name="_xlpm.counts" hidden="1" xlm="1">#NAME?</definedName>
    <definedName name="_xlpm.displayCompanies" hidden="1" xlm="1">#NAME?</definedName>
    <definedName name="_xlpm.ｋ" hidden="1" xlm="1">#NAME?</definedName>
    <definedName name="_xlpm.か" hidden="1" xlm="1">#NAME?</definedName>
    <definedName name="_xlpm.かい" hidden="1" xlm="1">#NAME?</definedName>
    <definedName name="_xlpm.かいｓ" hidden="1" xlm="1">#NAME?</definedName>
    <definedName name="_xlpm.かいｓｙ" hidden="1" xlm="1">#NAME?</definedName>
    <definedName name="_xlpm.かいしゃ" hidden="1" xlm="1">#NAME?</definedName>
    <definedName name="_xlpm.会社" hidden="1" xlm="1">#NAME?</definedName>
    <definedName name="_xlpm.会社ｍ" hidden="1" xlm="1">#NAME?</definedName>
    <definedName name="_xlpm.会社め" hidden="1" xlm="1">#NAME?</definedName>
    <definedName name="_xlpm.会社めい" hidden="1" xlm="1">#NAME?</definedName>
    <definedName name="_xlpm.会社名" hidden="1" xlm="1">#NAME?</definedName>
    <definedName name="_xlnm.Print_Area" localSheetId="5">【原本】雑費請求書!$A$1:$G$36</definedName>
    <definedName name="オプション1" localSheetId="1">入力シート!$C$23</definedName>
    <definedName name="オプション2" localSheetId="1">入力シート!$C$24</definedName>
    <definedName name="オプション3" localSheetId="1">入力シート!$C$25</definedName>
    <definedName name="オプション4" localSheetId="1">入力シート!$C$26</definedName>
    <definedName name="オプション5" localSheetId="1">入力シート!$C$27</definedName>
    <definedName name="オプション6" localSheetId="1">入力シート!$C$28</definedName>
    <definedName name="オプション7" localSheetId="1">入力シート!$C$29</definedName>
    <definedName name="オプション8" localSheetId="1">入力シート!$C$30</definedName>
    <definedName name="コースリスト">tbl_コース[コース]</definedName>
    <definedName name="ご請求金額" localSheetId="5">【原本】雑費請求書!$D$16</definedName>
    <definedName name="宛名" localSheetId="5">【原本】雑費請求書!$B$2</definedName>
    <definedName name="会社名" localSheetId="1">入力シート!$C$6</definedName>
    <definedName name="会社名リスト">会社マスタ[会社名]</definedName>
    <definedName name="合計" localSheetId="5">【原本】雑費請求書!$C$34</definedName>
    <definedName name="氏名" localSheetId="1">入力シート!$C$7</definedName>
    <definedName name="氏名リスト元" localSheetId="1">入力シート!$AA$1</definedName>
    <definedName name="受診人数" localSheetId="5">【原本】雑費請求書!$D$13</definedName>
    <definedName name="受付No" localSheetId="1">入力シート!$C$3</definedName>
    <definedName name="請求期間" localSheetId="5">【原本】雑費請求書!$D$11</definedName>
    <definedName name="日付" localSheetId="6">【原本】受付名簿!$B$3</definedName>
    <definedName name="日付" localSheetId="1">入力シート!$F$2</definedName>
    <definedName name="備考" localSheetId="1">入力シート!$B$33</definedName>
    <definedName name="便潜血" localSheetId="1">入力シート!$C$20</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<sst xmlns="http://schemas.openxmlformats.org/spreadsheetml/2006/main" count="520" uniqueCount="178">
  <si>
    <t>コース</t>
    <phoneticPr fontId="1"/>
  </si>
  <si>
    <t>備考</t>
    <rPh sb="0" eb="2">
      <t>ビコウ</t>
    </rPh>
    <phoneticPr fontId="1"/>
  </si>
  <si>
    <t>日付</t>
    <rPh sb="0" eb="2">
      <t>ヒヅケ</t>
    </rPh>
    <phoneticPr fontId="1"/>
  </si>
  <si>
    <t>A</t>
    <phoneticPr fontId="1"/>
  </si>
  <si>
    <t>B</t>
    <phoneticPr fontId="1"/>
  </si>
  <si>
    <t>C</t>
    <phoneticPr fontId="1"/>
  </si>
  <si>
    <t>性別</t>
    <rPh sb="0" eb="2">
      <t>セイベツ</t>
    </rPh>
    <phoneticPr fontId="1"/>
  </si>
  <si>
    <t>会社名</t>
    <rPh sb="0" eb="3">
      <t>カイシャメイ</t>
    </rPh>
    <phoneticPr fontId="1"/>
  </si>
  <si>
    <t>氏名</t>
    <rPh sb="0" eb="2">
      <t>シメイ</t>
    </rPh>
    <phoneticPr fontId="1"/>
  </si>
  <si>
    <t>カナ氏名</t>
    <rPh sb="2" eb="4">
      <t>シメイ</t>
    </rPh>
    <phoneticPr fontId="1"/>
  </si>
  <si>
    <t>検診コース</t>
    <rPh sb="0" eb="2">
      <t>ケンシン</t>
    </rPh>
    <phoneticPr fontId="1"/>
  </si>
  <si>
    <t>受診者マスタ</t>
    <rPh sb="0" eb="3">
      <t>ジュシンシャ</t>
    </rPh>
    <phoneticPr fontId="1"/>
  </si>
  <si>
    <t>受付名簿</t>
    <rPh sb="0" eb="4">
      <t>ウケツケメイボ</t>
    </rPh>
    <phoneticPr fontId="1"/>
  </si>
  <si>
    <t>受付No.</t>
    <rPh sb="0" eb="2">
      <t>ウケツケ</t>
    </rPh>
    <phoneticPr fontId="1"/>
  </si>
  <si>
    <t>D</t>
    <phoneticPr fontId="1"/>
  </si>
  <si>
    <t>正式コース名</t>
    <rPh sb="0" eb="2">
      <t>セイシキ</t>
    </rPh>
    <rPh sb="5" eb="6">
      <t>メイ</t>
    </rPh>
    <phoneticPr fontId="1"/>
  </si>
  <si>
    <t>オプション</t>
    <phoneticPr fontId="1"/>
  </si>
  <si>
    <t>会社マスタ</t>
    <rPh sb="0" eb="2">
      <t>カイシャ</t>
    </rPh>
    <phoneticPr fontId="1"/>
  </si>
  <si>
    <t>【基本情報】</t>
    <rPh sb="1" eb="5">
      <t>キホンジョウホウ</t>
    </rPh>
    <phoneticPr fontId="1"/>
  </si>
  <si>
    <t>プルダウン</t>
    <phoneticPr fontId="1"/>
  </si>
  <si>
    <t>自動表示</t>
    <rPh sb="0" eb="4">
      <t>ジドウヒョウジ</t>
    </rPh>
    <phoneticPr fontId="1"/>
  </si>
  <si>
    <t>【オプション選択】</t>
    <rPh sb="6" eb="8">
      <t>センタク</t>
    </rPh>
    <phoneticPr fontId="1"/>
  </si>
  <si>
    <t>【便潜血】</t>
    <rPh sb="1" eb="4">
      <t>ベンセンケツ</t>
    </rPh>
    <phoneticPr fontId="1"/>
  </si>
  <si>
    <t>便潜血</t>
    <rPh sb="0" eb="3">
      <t>ベンセンケツ</t>
    </rPh>
    <phoneticPr fontId="1"/>
  </si>
  <si>
    <t>男性ｾｯﾄ</t>
    <rPh sb="0" eb="2">
      <t>ダンセイ</t>
    </rPh>
    <phoneticPr fontId="1"/>
  </si>
  <si>
    <t>PSA</t>
    <phoneticPr fontId="1"/>
  </si>
  <si>
    <t>BNP</t>
    <phoneticPr fontId="1"/>
  </si>
  <si>
    <t>女性ｾｯﾄ</t>
    <rPh sb="0" eb="2">
      <t>ジョセイ</t>
    </rPh>
    <phoneticPr fontId="1"/>
  </si>
  <si>
    <t>消化器</t>
    <rPh sb="0" eb="3">
      <t>ショウカキ</t>
    </rPh>
    <phoneticPr fontId="1"/>
  </si>
  <si>
    <t>脳梗塞</t>
    <rPh sb="0" eb="3">
      <t>ノウコウソク</t>
    </rPh>
    <phoneticPr fontId="1"/>
  </si>
  <si>
    <t>ABC</t>
    <phoneticPr fontId="1"/>
  </si>
  <si>
    <t>ｱﾚﾙｷﾞｰ</t>
    <phoneticPr fontId="1"/>
  </si>
  <si>
    <t>2本</t>
    <rPh sb="1" eb="2">
      <t>ホン</t>
    </rPh>
    <phoneticPr fontId="1"/>
  </si>
  <si>
    <t>1本</t>
    <rPh sb="1" eb="2">
      <t>ホン</t>
    </rPh>
    <phoneticPr fontId="1"/>
  </si>
  <si>
    <t>ｷｬﾝｾﾙ</t>
    <phoneticPr fontId="1"/>
  </si>
  <si>
    <t>集計</t>
  </si>
  <si>
    <t>年齢</t>
    <rPh sb="0" eb="2">
      <t>ネンレイ</t>
    </rPh>
    <phoneticPr fontId="1"/>
  </si>
  <si>
    <t>人数</t>
    <rPh sb="0" eb="2">
      <t>ニンズウ</t>
    </rPh>
    <phoneticPr fontId="1"/>
  </si>
  <si>
    <t>8: アレルギー</t>
    <phoneticPr fontId="1"/>
  </si>
  <si>
    <t>2: PSA</t>
    <phoneticPr fontId="1"/>
  </si>
  <si>
    <t>1: 男性セット</t>
    <rPh sb="3" eb="5">
      <t>ダンセイ</t>
    </rPh>
    <phoneticPr fontId="1"/>
  </si>
  <si>
    <t>3: BNP</t>
    <phoneticPr fontId="1"/>
  </si>
  <si>
    <t>4: 女性用セット</t>
    <phoneticPr fontId="1"/>
  </si>
  <si>
    <t>5: 消化器</t>
    <rPh sb="3" eb="6">
      <t>ショウカキ</t>
    </rPh>
    <phoneticPr fontId="1"/>
  </si>
  <si>
    <t>6: 脳梗塞</t>
    <rPh sb="3" eb="6">
      <t>ノウコウソク</t>
    </rPh>
    <phoneticPr fontId="1"/>
  </si>
  <si>
    <t>7: ABC</t>
    <phoneticPr fontId="1"/>
  </si>
  <si>
    <t>受付人数</t>
    <rPh sb="0" eb="2">
      <t>ウケツケ</t>
    </rPh>
    <rPh sb="2" eb="4">
      <t>ニンズウ</t>
    </rPh>
    <phoneticPr fontId="1"/>
  </si>
  <si>
    <t>【備考】</t>
    <rPh sb="1" eb="3">
      <t>ビコウ</t>
    </rPh>
    <phoneticPr fontId="1"/>
  </si>
  <si>
    <t>生年月日</t>
    <rPh sb="0" eb="4">
      <t>セイネンガッピ</t>
    </rPh>
    <phoneticPr fontId="1"/>
  </si>
  <si>
    <t>検索キー</t>
    <rPh sb="0" eb="2">
      <t>ケンサク</t>
    </rPh>
    <phoneticPr fontId="1"/>
  </si>
  <si>
    <t>入力</t>
    <rPh sb="0" eb="2">
      <t>ニュウリョク</t>
    </rPh>
    <phoneticPr fontId="1"/>
  </si>
  <si>
    <r>
      <rPr>
        <b/>
        <sz val="18"/>
        <color rgb="FF2C5F9E"/>
        <rFont val="Calibri"/>
        <family val="3"/>
      </rPr>
      <t xml:space="preserve"> </t>
    </r>
    <r>
      <rPr>
        <b/>
        <sz val="18"/>
        <color rgb="FF2C5F9E"/>
        <rFont val="Segoe UI Symbol"/>
        <family val="3"/>
      </rPr>
      <t>🏥</t>
    </r>
    <r>
      <rPr>
        <b/>
        <sz val="18"/>
        <color rgb="FF2C5F9E"/>
        <rFont val="Calibri"/>
        <family val="3"/>
      </rPr>
      <t xml:space="preserve"> </t>
    </r>
    <r>
      <rPr>
        <b/>
        <sz val="18"/>
        <color rgb="FF2C5F9E"/>
        <rFont val="メイリオ"/>
        <family val="3"/>
        <charset val="128"/>
      </rPr>
      <t>健康診断受付入力シート</t>
    </r>
    <rPh sb="4" eb="8">
      <t>ケンコウシンダン</t>
    </rPh>
    <rPh sb="8" eb="10">
      <t>ウケツケ</t>
    </rPh>
    <rPh sb="10" eb="12">
      <t>ニュウリョク</t>
    </rPh>
    <phoneticPr fontId="1"/>
  </si>
  <si>
    <t>プルダウン(必須)</t>
    <rPh sb="6" eb="8">
      <t>ヒッス</t>
    </rPh>
    <phoneticPr fontId="1"/>
  </si>
  <si>
    <t>自由入力</t>
    <rPh sb="0" eb="2">
      <t>ジユウ</t>
    </rPh>
    <rPh sb="2" eb="4">
      <t>ニュウリョク</t>
    </rPh>
    <phoneticPr fontId="1"/>
  </si>
  <si>
    <t>日頃より格別のご愛顧を頂きまして、ありがとうございます。</t>
    <rPh sb="0" eb="2">
      <t>ヒゴロ</t>
    </rPh>
    <rPh sb="4" eb="6">
      <t>カクベツ</t>
    </rPh>
    <rPh sb="8" eb="10">
      <t>アイコ</t>
    </rPh>
    <rPh sb="11" eb="12">
      <t>イタダ</t>
    </rPh>
    <phoneticPr fontId="32"/>
  </si>
  <si>
    <t>下記に関しましてご請求させていただきます。</t>
    <rPh sb="0" eb="2">
      <t>カキ</t>
    </rPh>
    <rPh sb="3" eb="4">
      <t>カン</t>
    </rPh>
    <rPh sb="9" eb="11">
      <t>セイキュウ</t>
    </rPh>
    <phoneticPr fontId="32"/>
  </si>
  <si>
    <t>これからもどうぞ宜しくご愛顧くださいますようお願い申し上げます。</t>
    <rPh sb="8" eb="9">
      <t>ヨロ</t>
    </rPh>
    <rPh sb="12" eb="14">
      <t>アイコ</t>
    </rPh>
    <rPh sb="23" eb="24">
      <t>ネガ</t>
    </rPh>
    <rPh sb="25" eb="26">
      <t>モウ</t>
    </rPh>
    <rPh sb="27" eb="28">
      <t>ア</t>
    </rPh>
    <phoneticPr fontId="32"/>
  </si>
  <si>
    <t>請求件名　：</t>
    <rPh sb="0" eb="2">
      <t>セイキュウ</t>
    </rPh>
    <rPh sb="2" eb="4">
      <t>ケンメイ</t>
    </rPh>
    <phoneticPr fontId="32"/>
  </si>
  <si>
    <t>健康診断　諸経費御負担分</t>
    <rPh sb="0" eb="2">
      <t>ケンコウ</t>
    </rPh>
    <rPh sb="2" eb="4">
      <t>シンダン</t>
    </rPh>
    <rPh sb="5" eb="8">
      <t>ショケイヒ</t>
    </rPh>
    <rPh sb="8" eb="9">
      <t>ゴ</t>
    </rPh>
    <rPh sb="9" eb="11">
      <t>フタン</t>
    </rPh>
    <rPh sb="11" eb="12">
      <t>ブン</t>
    </rPh>
    <phoneticPr fontId="32"/>
  </si>
  <si>
    <t>請求期間　：</t>
    <rPh sb="0" eb="2">
      <t>セイキュウ</t>
    </rPh>
    <rPh sb="2" eb="4">
      <t>キカン</t>
    </rPh>
    <phoneticPr fontId="32"/>
  </si>
  <si>
    <t>受診人数　：</t>
    <rPh sb="0" eb="2">
      <t>ジュシン</t>
    </rPh>
    <rPh sb="2" eb="4">
      <t>ニンズウ</t>
    </rPh>
    <phoneticPr fontId="32"/>
  </si>
  <si>
    <t>ご請求金額（税込）</t>
    <rPh sb="1" eb="3">
      <t>セイキュウ</t>
    </rPh>
    <rPh sb="3" eb="5">
      <t>キンガク</t>
    </rPh>
    <rPh sb="6" eb="8">
      <t>ゼイコミ</t>
    </rPh>
    <phoneticPr fontId="32"/>
  </si>
  <si>
    <t>【振込先】　　</t>
    <phoneticPr fontId="5"/>
  </si>
  <si>
    <t>住信ＳＢＩネット銀行／法人第一支店／普通／２３６１９５１</t>
    <phoneticPr fontId="5"/>
  </si>
  <si>
    <t>一般社団法人白兎会 シヤ）ハクトカイ</t>
    <phoneticPr fontId="5"/>
  </si>
  <si>
    <t>※振込手数料はご負担頂きますようお願いします</t>
    <rPh sb="1" eb="3">
      <t>フリコミ</t>
    </rPh>
    <rPh sb="3" eb="6">
      <t>テスウリョウ</t>
    </rPh>
    <rPh sb="8" eb="10">
      <t>フタン</t>
    </rPh>
    <rPh sb="10" eb="11">
      <t>イタダ</t>
    </rPh>
    <rPh sb="17" eb="18">
      <t>ネガ</t>
    </rPh>
    <phoneticPr fontId="5"/>
  </si>
  <si>
    <t>項目</t>
    <rPh sb="0" eb="2">
      <t>コウモク</t>
    </rPh>
    <phoneticPr fontId="5"/>
  </si>
  <si>
    <t>料金（円）</t>
    <rPh sb="0" eb="2">
      <t>リョウキン</t>
    </rPh>
    <rPh sb="3" eb="4">
      <t>エン</t>
    </rPh>
    <phoneticPr fontId="5"/>
  </si>
  <si>
    <t>スタッフ飛行機代金</t>
    <rPh sb="4" eb="7">
      <t>ヒコウキ</t>
    </rPh>
    <rPh sb="7" eb="8">
      <t>ダイ</t>
    </rPh>
    <rPh sb="8" eb="9">
      <t>キン</t>
    </rPh>
    <phoneticPr fontId="5"/>
  </si>
  <si>
    <t>貨物輸送代金（機材・荷物）</t>
    <rPh sb="0" eb="2">
      <t>カモツ</t>
    </rPh>
    <rPh sb="2" eb="4">
      <t>ユソウ</t>
    </rPh>
    <rPh sb="4" eb="6">
      <t>ダイキン</t>
    </rPh>
    <rPh sb="7" eb="9">
      <t>キザイ</t>
    </rPh>
    <rPh sb="10" eb="12">
      <t>ニモツ</t>
    </rPh>
    <phoneticPr fontId="5"/>
  </si>
  <si>
    <t>宿泊代金</t>
    <rPh sb="0" eb="2">
      <t>シュクハク</t>
    </rPh>
    <rPh sb="2" eb="3">
      <t>ダイ</t>
    </rPh>
    <rPh sb="3" eb="4">
      <t>キン</t>
    </rPh>
    <phoneticPr fontId="5"/>
  </si>
  <si>
    <t>検体空輸代金</t>
    <rPh sb="0" eb="2">
      <t>ケンタイ</t>
    </rPh>
    <rPh sb="2" eb="4">
      <t>クウユ</t>
    </rPh>
    <rPh sb="4" eb="6">
      <t>ダイキン</t>
    </rPh>
    <phoneticPr fontId="5"/>
  </si>
  <si>
    <t>駐車代金</t>
    <rPh sb="0" eb="2">
      <t>チュウシャ</t>
    </rPh>
    <rPh sb="2" eb="4">
      <t>ダイキン</t>
    </rPh>
    <phoneticPr fontId="5"/>
  </si>
  <si>
    <t>島内ﾚﾝﾀｶｰ代金</t>
    <rPh sb="0" eb="2">
      <t>トウナイ</t>
    </rPh>
    <rPh sb="7" eb="9">
      <t>ダイキン</t>
    </rPh>
    <phoneticPr fontId="5"/>
  </si>
  <si>
    <t>島内ﾚﾝﾀｶｰ燃料代金</t>
    <rPh sb="0" eb="2">
      <t>トウナイ</t>
    </rPh>
    <rPh sb="7" eb="9">
      <t>ネンリョウ</t>
    </rPh>
    <rPh sb="9" eb="11">
      <t>ダイキン</t>
    </rPh>
    <phoneticPr fontId="5"/>
  </si>
  <si>
    <t>合計</t>
    <rPh sb="0" eb="2">
      <t>ゴウケイ</t>
    </rPh>
    <phoneticPr fontId="5"/>
  </si>
  <si>
    <t>※領収書は別紙参照</t>
    <rPh sb="1" eb="4">
      <t>リョウシュウショ</t>
    </rPh>
    <rPh sb="5" eb="7">
      <t>ベッシ</t>
    </rPh>
    <rPh sb="7" eb="9">
      <t>サンショウ</t>
    </rPh>
    <phoneticPr fontId="5"/>
  </si>
  <si>
    <t>一般社団法人 白兎会</t>
    <rPh sb="0" eb="2">
      <t>イッパン</t>
    </rPh>
    <rPh sb="2" eb="6">
      <t>シャダンホウジン</t>
    </rPh>
    <rPh sb="7" eb="8">
      <t>シロ</t>
    </rPh>
    <rPh sb="8" eb="9">
      <t>ウサギ</t>
    </rPh>
    <rPh sb="9" eb="10">
      <t>カイ</t>
    </rPh>
    <phoneticPr fontId="5"/>
  </si>
  <si>
    <t>芝浦健診クリニック</t>
    <rPh sb="0" eb="2">
      <t>シバウラ</t>
    </rPh>
    <rPh sb="2" eb="4">
      <t>ケンシン</t>
    </rPh>
    <phoneticPr fontId="5"/>
  </si>
  <si>
    <t>東京都港区芝浦3-18-17、3F</t>
    <rPh sb="0" eb="2">
      <t>トウキョウ</t>
    </rPh>
    <rPh sb="2" eb="3">
      <t>ト</t>
    </rPh>
    <rPh sb="3" eb="5">
      <t>ミナトク</t>
    </rPh>
    <rPh sb="5" eb="7">
      <t>シバウラ</t>
    </rPh>
    <phoneticPr fontId="5"/>
  </si>
  <si>
    <t>TEL：03-5427-3680</t>
    <phoneticPr fontId="32"/>
  </si>
  <si>
    <t>登録番号：T5010405022955</t>
    <phoneticPr fontId="5"/>
  </si>
  <si>
    <t>E</t>
    <phoneticPr fontId="1"/>
  </si>
  <si>
    <t>F</t>
    <phoneticPr fontId="1"/>
  </si>
  <si>
    <t>請求先</t>
    <rPh sb="0" eb="3">
      <t>セイキュウサキ</t>
    </rPh>
    <phoneticPr fontId="1"/>
  </si>
  <si>
    <t>協会けんぽ</t>
    <rPh sb="0" eb="2">
      <t>キョウカイ</t>
    </rPh>
    <phoneticPr fontId="1"/>
  </si>
  <si>
    <t>東京土建</t>
    <rPh sb="0" eb="2">
      <t>トウキョウ</t>
    </rPh>
    <rPh sb="2" eb="4">
      <t>ドケン</t>
    </rPh>
    <phoneticPr fontId="1"/>
  </si>
  <si>
    <t>生活習慣病予防健診</t>
    <phoneticPr fontId="1"/>
  </si>
  <si>
    <t>定期健康診断</t>
    <phoneticPr fontId="1"/>
  </si>
  <si>
    <t>特定健診</t>
    <phoneticPr fontId="1"/>
  </si>
  <si>
    <t>特定健診Plus</t>
    <phoneticPr fontId="1"/>
  </si>
  <si>
    <t>東京土建（～39歳）</t>
    <phoneticPr fontId="1"/>
  </si>
  <si>
    <t>東京土建（40歳～）</t>
    <phoneticPr fontId="1"/>
  </si>
  <si>
    <t>A：生活習慣病予防健診</t>
    <phoneticPr fontId="1"/>
  </si>
  <si>
    <t>B：定期健康診断</t>
    <phoneticPr fontId="1"/>
  </si>
  <si>
    <t>C：特定健診</t>
    <phoneticPr fontId="1"/>
  </si>
  <si>
    <t>D：特定健診Plus</t>
    <phoneticPr fontId="1"/>
  </si>
  <si>
    <t>E：東京土建（～39歳）</t>
    <phoneticPr fontId="1"/>
  </si>
  <si>
    <t>F：東京土建（40歳～）</t>
    <phoneticPr fontId="1"/>
  </si>
  <si>
    <t>検診コース名</t>
    <rPh sb="0" eb="2">
      <t>ケンシン</t>
    </rPh>
    <rPh sb="5" eb="6">
      <t>メイ</t>
    </rPh>
    <phoneticPr fontId="1"/>
  </si>
  <si>
    <t>宛名　御中</t>
    <rPh sb="0" eb="2">
      <t>アテナ</t>
    </rPh>
    <rPh sb="3" eb="5">
      <t>オンチュウ</t>
    </rPh>
    <phoneticPr fontId="32"/>
  </si>
  <si>
    <t>○○○名（全体で○○○名受診）</t>
    <rPh sb="3" eb="4">
      <t>メイ</t>
    </rPh>
    <rPh sb="5" eb="7">
      <t>ゼンタイ</t>
    </rPh>
    <rPh sb="11" eb="12">
      <t>メイ</t>
    </rPh>
    <rPh sb="12" eb="14">
      <t>ジュシン</t>
    </rPh>
    <phoneticPr fontId="5"/>
  </si>
  <si>
    <t>事業所ごとへ請求</t>
    <rPh sb="0" eb="3">
      <t>ジギョウショ</t>
    </rPh>
    <rPh sb="6" eb="8">
      <t>セイキュウ</t>
    </rPh>
    <phoneticPr fontId="1"/>
  </si>
  <si>
    <t>※入力シートおよび受診者マスタの選択肢になります</t>
    <rPh sb="9" eb="12">
      <t>ジュシンシャ</t>
    </rPh>
    <phoneticPr fontId="1"/>
  </si>
  <si>
    <t>検診コースマスタ</t>
    <rPh sb="0" eb="2">
      <t>ケンシン</t>
    </rPh>
    <phoneticPr fontId="1"/>
  </si>
  <si>
    <t xml:space="preserve">※入力シートおよび受診者マスタの選択肢になります。 </t>
    <phoneticPr fontId="1"/>
  </si>
  <si>
    <t>■ 請求先について</t>
    <phoneticPr fontId="1"/>
  </si>
  <si>
    <t>・ここで設定した「請求先」に基づいて、自動的に請求書が振り分けられます。</t>
    <phoneticPr fontId="1"/>
  </si>
  <si>
    <t>・「事業所ごとへ請求」と設定したコースは、事業所ごとに個別の請求書が作成されます。</t>
    <phoneticPr fontId="1"/>
  </si>
  <si>
    <t>・請求先の名称は請求書の宛名にそのまま使用されるため、正式名称で記載してください。</t>
    <phoneticPr fontId="1"/>
  </si>
  <si>
    <t>■ コースの追加・削除</t>
    <phoneticPr fontId="1"/>
  </si>
  <si>
    <t>・コースを追加する場合は、テーブルの最終行の下に入力すると自動で拡張されます。</t>
    <phoneticPr fontId="1"/>
  </si>
  <si>
    <t>・削除する場合は、行全体を選択して削除するか、右クリックから「削除」を選択してください。</t>
    <phoneticPr fontId="1"/>
  </si>
  <si>
    <t>yyyy/mm/dd-dd</t>
    <phoneticPr fontId="5"/>
  </si>
  <si>
    <t>島の住民向け健康診断管理システム</t>
  </si>
  <si>
    <t>■ システム概要</t>
  </si>
  <si>
    <t>このシステムは、年1回実施される健康診断の受付業務を効率化するためのツールです。
【主な機能】
・受付業務の自動化(連動プルダウン・自動採番)
・日別の受付名簿管理
・リアルタイム集計表示
・雑費用請求書の自動生成</t>
    <phoneticPr fontId="1"/>
  </si>
  <si>
    <t>■ 使い方</t>
    <rPh sb="2" eb="3">
      <t>ツカ</t>
    </rPh>
    <rPh sb="4" eb="5">
      <t>カタ</t>
    </rPh>
    <phoneticPr fontId="1"/>
  </si>
  <si>
    <t>■ 各シートの役割</t>
    <phoneticPr fontId="1"/>
  </si>
  <si>
    <t>【入力シート】
　健診当日の受付業務で使用します。ここから登録すると自動的に日付シートに振り分けられます。
【YYYYMMDD形式の日付シート】
　各健診日の受付名簿です。受付済みの方の一覧と集計表が表示されます。
【受診者マスタ】
　事前に受診者情報を登録しておくシートです。当日の飛び込み受診者もここに追加できます。
【会社マスタ】
　会社名（事業所）の一覧です。
【検診コースマスタ】
　健診コースの定義と請求先の設定を行います。
【【原本】受付名簿】
　新しい日付シートを作成する際のテンプレートです。通常は触りません。
【【原本】雑費請求書】
　請求書生成のテンプレートです。全体の雑費項目と金額を入力してから請求書を生成します。</t>
    <rPh sb="177" eb="180">
      <t>ジギョウショ</t>
    </rPh>
    <rPh sb="182" eb="184">
      <t>イチラン</t>
    </rPh>
    <rPh sb="299" eb="301">
      <t>ゼンタイ</t>
    </rPh>
    <rPh sb="302" eb="304">
      <t>ザッピ</t>
    </rPh>
    <rPh sb="304" eb="306">
      <t>コウモク</t>
    </rPh>
    <phoneticPr fontId="1"/>
  </si>
  <si>
    <t>【健診前の準備】
1. 「検診コースマスタ」でコースと請求先を設定
2. 「会社マスタ」に会社情報を登録
3. 「受診者マスタ」に受診予定者の情報を登録
4. 右の「日付シート作成」ボタンで健診日のシートを作成
【健診当日の受付業務】
1. 「入力シート」を開く
2. 会社名と氏名を選択(基本情報は自動入力されます)
3. オプション・便潜血を選択
4. 「受付登録」ボタンを押す
5. 入力内容がクリアされ、次の受診者の受付へ
【健診後の処理】
1. 「雑費用請求書」シートで項目名と金額を入力
2. 右の「請求書生成」ボタンで会社別/健保別の請求書を自動作成</t>
    <rPh sb="80" eb="81">
      <t>ミギ</t>
    </rPh>
    <rPh sb="255" eb="256">
      <t>ミギ</t>
    </rPh>
    <phoneticPr fontId="1"/>
  </si>
  <si>
    <t>男性</t>
  </si>
  <si>
    <t>健保名</t>
    <rPh sb="0" eb="2">
      <t>ケンポ</t>
    </rPh>
    <rPh sb="2" eb="3">
      <t>メイ</t>
    </rPh>
    <phoneticPr fontId="1"/>
  </si>
  <si>
    <t>件数</t>
    <rPh sb="0" eb="2">
      <t>ケンスウ</t>
    </rPh>
    <phoneticPr fontId="1"/>
  </si>
  <si>
    <t>発行日</t>
    <rPh sb="0" eb="3">
      <t>ハッコウビ</t>
    </rPh>
    <phoneticPr fontId="1"/>
  </si>
  <si>
    <t>※入金期日　2026年1月31日</t>
    <rPh sb="1" eb="3">
      <t>ニュウキン</t>
    </rPh>
    <rPh sb="3" eb="5">
      <t>キジツ</t>
    </rPh>
    <rPh sb="10" eb="11">
      <t>ネン</t>
    </rPh>
    <rPh sb="12" eb="13">
      <t>ガツ</t>
    </rPh>
    <rPh sb="15" eb="16">
      <t>ニチ</t>
    </rPh>
    <phoneticPr fontId="5"/>
  </si>
  <si>
    <t>フリー1</t>
    <phoneticPr fontId="1"/>
  </si>
  <si>
    <t>フリー2</t>
    <phoneticPr fontId="1"/>
  </si>
  <si>
    <t>フリー3</t>
    <phoneticPr fontId="1"/>
  </si>
  <si>
    <t>フリー1集計</t>
    <rPh sb="4" eb="6">
      <t>シュウケイ</t>
    </rPh>
    <phoneticPr fontId="1"/>
  </si>
  <si>
    <t>受付済み</t>
    <rPh sb="0" eb="2">
      <t>ウケツケ</t>
    </rPh>
    <rPh sb="2" eb="3">
      <t>ズ</t>
    </rPh>
    <phoneticPr fontId="1"/>
  </si>
  <si>
    <t>自動記入</t>
    <rPh sb="0" eb="2">
      <t>ジドウ</t>
    </rPh>
    <rPh sb="2" eb="4">
      <t>キニュウ</t>
    </rPh>
    <phoneticPr fontId="1"/>
  </si>
  <si>
    <t>自動（数式）</t>
    <rPh sb="0" eb="2">
      <t>ジドウ</t>
    </rPh>
    <rPh sb="3" eb="5">
      <t>スウシキ</t>
    </rPh>
    <phoneticPr fontId="1"/>
  </si>
  <si>
    <t>KENWOOD</t>
  </si>
  <si>
    <t>KENWOOD</t>
    <phoneticPr fontId="1"/>
  </si>
  <si>
    <t>平岩　朝朗</t>
  </si>
  <si>
    <t>ﾋﾗｲﾜ ｱｻｵ</t>
  </si>
  <si>
    <t>井田　智子</t>
  </si>
  <si>
    <t>ｲﾀﾞ ﾄﾓｺ</t>
  </si>
  <si>
    <t>守谷　千華</t>
  </si>
  <si>
    <t>ﾓﾘﾔ ﾁｶ</t>
  </si>
  <si>
    <t>飯嶋　久美子</t>
  </si>
  <si>
    <t>ｲｲｼﾞﾏ ｸﾐｺ</t>
  </si>
  <si>
    <t>須長　優介</t>
  </si>
  <si>
    <t>ｽﾅｶﾞ ﾕｳｽｹ</t>
  </si>
  <si>
    <t>見方　七恵</t>
  </si>
  <si>
    <t>ﾐｶﾀ ﾅﾅｴ</t>
  </si>
  <si>
    <t>水野　有里</t>
  </si>
  <si>
    <t>ﾐｽﾞﾉ ｱﾘ</t>
  </si>
  <si>
    <t>堀田　真弓</t>
  </si>
  <si>
    <t>ﾎｯﾀ ﾏﾕﾐ</t>
  </si>
  <si>
    <t>宇山　和良</t>
  </si>
  <si>
    <t>ｳﾔﾏ ｶｽﾞﾖｼ</t>
  </si>
  <si>
    <t>芳林　誠</t>
  </si>
  <si>
    <t>ﾖｼﾊﾞﾔｼ ﾏｺﾄ</t>
  </si>
  <si>
    <t>森田　和加子</t>
  </si>
  <si>
    <t>ﾓﾘﾀ ﾜｶｺ</t>
  </si>
  <si>
    <t>立山　裕典</t>
  </si>
  <si>
    <t>ﾀﾃﾔﾏ ﾕｳｽｹ</t>
  </si>
  <si>
    <t>佐田　歩武</t>
  </si>
  <si>
    <t>ｻﾀ ｱﾕﾑ</t>
  </si>
  <si>
    <t>河合　真人</t>
  </si>
  <si>
    <t>ｶﾜｲ ﾏｻﾄ</t>
  </si>
  <si>
    <t>飯島　大珠</t>
  </si>
  <si>
    <t>ｲｲｼﾞﾏ ﾀｲｼﾞｭ</t>
  </si>
  <si>
    <t>天久　咲希</t>
  </si>
  <si>
    <t>ｱﾒｸ ｻｷ</t>
  </si>
  <si>
    <t>成田　祐紀子</t>
  </si>
  <si>
    <t>ﾅﾘﾀ ﾕｷｺ</t>
  </si>
  <si>
    <t>安藤　悠</t>
  </si>
  <si>
    <t>ｱﾝﾄﾞｳ ﾊﾙｶ</t>
  </si>
  <si>
    <t>田村　和映</t>
  </si>
  <si>
    <t>ﾀﾑﾗ ｶｽﾞｴ</t>
  </si>
  <si>
    <t>アップビート</t>
    <phoneticPr fontId="1"/>
  </si>
  <si>
    <t>済</t>
  </si>
  <si>
    <t>朝生　学</t>
  </si>
  <si>
    <t>朝生　学</t>
    <rPh sb="0" eb="2">
      <t>アソウ</t>
    </rPh>
    <rPh sb="3" eb="4">
      <t>ガク</t>
    </rPh>
    <phoneticPr fontId="1"/>
  </si>
  <si>
    <t>ｱｻｵ ﾏﾅﾌﾞ</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</si>
</sst>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5" formatCode="&quot;¥&quot;#,##0;&quot;¥&quot;\-#,##0"/>
    <numFmt numFmtId="176" formatCode="yyyy/m/d\ \(aaa\)"/>
    <numFmt numFmtId="177" formatCode="0\ &quot;名&quot;"/>
    <numFmt numFmtId="178" formatCode="yyyy/mm/dd;@"/>
    <numFmt numFmtId="179" formatCode="&quot;¥&quot;#,##0_);[Red]\(&quot;¥&quot;#,##0\)"/>
    <numFmt numFmtId="180" formatCode="#,##0;[Red]#,##0"/>
    <numFmt numFmtId="181" formatCode="[$-F800]dddd\,\ mmmm\ dd\,\ yyyy"/>
    <numFmt numFmtId="182" formatCode="0;\-0;;@"/>
  </numFmts>
  <fonts count="52" x14ac:knownFonts="1">
    <font>
      <sz val="11"/>
      <color theme="1"/>
      <name val="游ゴシック"/>
      <family val="2"/>
      <charset val="128"/>
    </font>
    <font>
      <sz val="6"/>
      <name val="游ゴシック"/>
      <family val="2"/>
      <charset val="128"/>
    </font>
    <font>
      <sz val="10"/>
      <color theme="1"/>
      <name val="メイリオ"/>
      <family val="3"/>
      <charset val="128"/>
    </font>
    <font>
      <b/>
      <sz val="18"/>
      <color theme="1"/>
      <name val="メイリオ"/>
      <family val="3"/>
      <charset val="128"/>
    </font>
    <font>
      <sz val="11"/>
      <color theme="1"/>
      <name val="游ゴシック"/>
      <family val="2"/>
      <charset val="128"/>
      <scheme val="minor"/>
    </font>
    <font>
      <sz val="6"/>
      <name val="游ゴシック"/>
      <family val="2"/>
      <charset val="128"/>
      <scheme val="minor"/>
    </font>
    <font>
      <sz val="12"/>
      <color theme="1"/>
      <name val="メイリオ"/>
      <family val="3"/>
      <charset val="128"/>
    </font>
    <font>
      <sz val="11"/>
      <color theme="1"/>
      <name val="メイリオ"/>
      <family val="3"/>
      <charset val="128"/>
    </font>
    <font>
      <sz val="11"/>
      <color theme="0" tint="-0.499984740745262"/>
      <name val="メイリオ"/>
      <family val="3"/>
      <charset val="128"/>
    </font>
    <font>
      <sz val="10"/>
      <color theme="4"/>
      <name val="メイリオ"/>
      <family val="3"/>
      <charset val="128"/>
    </font>
    <font>
      <sz val="10"/>
      <color rgb="FFFF0000"/>
      <name val="メイリオ"/>
      <family val="3"/>
      <charset val="128"/>
    </font>
    <font>
      <sz val="11"/>
      <color rgb="FFFF0000"/>
      <name val="メイリオ"/>
      <family val="3"/>
      <charset val="128"/>
    </font>
    <font>
      <b/>
      <sz val="10"/>
      <color theme="0"/>
      <name val="メイリオ"/>
      <family val="3"/>
      <charset val="128"/>
    </font>
    <font>
      <sz val="10"/>
      <name val="メイリオ"/>
      <family val="3"/>
      <charset val="128"/>
    </font>
    <font>
      <b/>
      <sz val="10"/>
      <name val="メイリオ"/>
      <family val="3"/>
      <charset val="128"/>
    </font>
    <font>
      <sz val="10"/>
      <color theme="0"/>
      <name val="メイリオ"/>
      <family val="3"/>
      <charset val="128"/>
    </font>
    <font>
      <b/>
      <sz val="20"/>
      <color theme="1"/>
      <name val="メイリオ"/>
      <family val="3"/>
      <charset val="128"/>
    </font>
    <font>
      <sz val="11"/>
      <color rgb="FF000000"/>
      <name val="メイリオ"/>
      <family val="3"/>
      <charset val="128"/>
    </font>
    <font>
      <sz val="8"/>
      <color theme="6"/>
      <name val="メイリオ"/>
      <family val="3"/>
      <charset val="128"/>
    </font>
    <font>
      <sz val="8"/>
      <color theme="5"/>
      <name val="メイリオ"/>
      <family val="3"/>
      <charset val="128"/>
    </font>
    <font>
      <b/>
      <sz val="11"/>
      <color theme="0"/>
      <name val="メイリオ"/>
      <family val="3"/>
      <charset val="128"/>
    </font>
    <font>
      <b/>
      <sz val="11"/>
      <color theme="1"/>
      <name val="メイリオ"/>
      <family val="3"/>
      <charset val="128"/>
    </font>
    <font>
      <b/>
      <sz val="16"/>
      <color theme="0"/>
      <name val="メイリオ"/>
      <family val="3"/>
      <charset val="128"/>
    </font>
    <font>
      <b/>
      <sz val="12"/>
      <color theme="0"/>
      <name val="メイリオ"/>
      <family val="3"/>
      <charset val="128"/>
    </font>
    <font>
      <b/>
      <sz val="24"/>
      <color rgb="FFFF9800"/>
      <name val="メイリオ"/>
      <family val="3"/>
      <charset val="128"/>
    </font>
    <font>
      <sz val="7"/>
      <color theme="1"/>
      <name val="メイリオ"/>
      <family val="3"/>
      <charset val="128"/>
    </font>
    <font>
      <sz val="7"/>
      <color theme="0" tint="-0.34998626667073579"/>
      <name val="メイリオ"/>
      <family val="3"/>
      <charset val="128"/>
    </font>
    <font>
      <b/>
      <sz val="18"/>
      <color rgb="FF2C5F9E"/>
      <name val="メイリオ"/>
      <family val="3"/>
      <charset val="128"/>
    </font>
    <font>
      <b/>
      <sz val="18"/>
      <color rgb="FF2C5F9E"/>
      <name val="Segoe UI Symbol"/>
      <family val="3"/>
    </font>
    <font>
      <b/>
      <sz val="18"/>
      <color rgb="FF2C5F9E"/>
      <name val="Calibri"/>
      <family val="3"/>
    </font>
    <font>
      <sz val="11"/>
      <name val="ＭＳ Ｐゴシック"/>
      <family val="3"/>
      <charset val="128"/>
    </font>
    <font>
      <b/>
      <u/>
      <sz val="18"/>
      <name val="ＭＳ Ｐゴシック"/>
      <family val="3"/>
      <charset val="128"/>
    </font>
    <font>
      <sz val="6"/>
      <name val="ＭＳ Ｐゴシック"/>
      <family val="3"/>
      <charset val="128"/>
    </font>
    <font>
      <b/>
      <sz val="16"/>
      <name val="ＭＳ Ｐゴシック"/>
      <family val="3"/>
      <charset val="128"/>
    </font>
    <font>
      <sz val="14"/>
      <name val="ＭＳ Ｐゴシック"/>
      <family val="3"/>
      <charset val="128"/>
    </font>
    <font>
      <sz val="16"/>
      <name val="ＭＳ Ｐゴシック"/>
      <family val="3"/>
      <charset val="128"/>
    </font>
    <font>
      <sz val="18"/>
      <name val="ＭＳ Ｐゴシック"/>
      <family val="3"/>
      <charset val="128"/>
    </font>
    <font>
      <b/>
      <sz val="18"/>
      <name val="ＭＳ Ｐゴシック"/>
      <family val="3"/>
      <charset val="128"/>
    </font>
    <font>
      <sz val="11"/>
      <color theme="1"/>
      <name val="ＭＳ Ｐゴシック"/>
      <family val="3"/>
      <charset val="128"/>
    </font>
    <font>
      <sz val="11"/>
      <color theme="0" tint="-4.9989318521683403E-2"/>
      <name val="メイリオ"/>
      <family val="3"/>
      <charset val="128"/>
    </font>
    <font>
      <sz val="11"/>
      <color theme="1"/>
      <name val="游ゴシック"/>
      <family val="2"/>
      <scheme val="minor"/>
    </font>
    <font>
      <b/>
      <sz val="18"/>
      <color rgb="FFFFFFFF"/>
      <name val="メイリオ"/>
      <family val="3"/>
      <charset val="128"/>
    </font>
    <font>
      <b/>
      <sz val="14"/>
      <color rgb="FFFFFFFF"/>
      <name val="メイリオ"/>
      <family val="3"/>
      <charset val="128"/>
    </font>
    <font>
      <sz val="10"/>
      <color rgb="FF000000"/>
      <name val="メイリオ"/>
      <family val="3"/>
      <charset val="128"/>
    </font>
    <font>
      <sz val="9"/>
      <color rgb="FF000000"/>
      <name val="メイリオ"/>
      <family val="3"/>
      <charset val="128"/>
    </font>
    <font>
      <sz val="11"/>
      <color theme="1"/>
      <name val="Meiryo UI"/>
      <family val="3"/>
      <charset val="128"/>
    </font>
    <font>
      <b/>
      <sz val="14"/>
      <color theme="0"/>
      <name val="メイリオ"/>
      <family val="3"/>
      <charset val="128"/>
    </font>
    <font>
      <b/>
      <sz val="16"/>
      <color theme="1"/>
      <name val="メイリオ"/>
      <family val="3"/>
      <charset val="128"/>
    </font>
    <font>
      <sz val="16"/>
      <color theme="1"/>
      <name val="メイリオ"/>
      <family val="3"/>
      <charset val="128"/>
    </font>
    <font>
      <sz val="16"/>
      <color theme="1"/>
      <name val="メイリオ"/>
      <family val="3"/>
      <charset val="128"/>
    </font>
    <font>
      <sz val="16"/>
      <color theme="1"/>
      <name val="メイリオ"/>
      <family val="3"/>
      <charset val="128"/>
    </font>
    <font>
      <sz val="18"/>
      <color theme="1"/>
      <name val="メイリオ"/>
      <family val="3"/>
      <charset val="128"/>
    </font>
  </fonts>
  <fills count="13">
    <fill>
      <patternFill patternType="none"/>
    </fill>
    <fill>
      <patternFill patternType="gray125"/>
    </fill>
    <fill>
      <patternFill patternType="solid">
        <fgColor theme="5" tint="0.79998168889431442"/>
        <bgColor indexed="64"/>
      </patternFill>
    </fill>
    <fill>
      <patternFill patternType="solid">
        <fgColor theme="9" tint="0.79998168889431442"/>
        <bgColor indexed="64"/>
      </patternFill>
    </fill>
    <fill>
      <patternFill patternType="solid">
        <fgColor rgb="FFFF9800"/>
        <bgColor indexed="64"/>
      </patternFill>
    </fill>
    <fill>
      <patternFill patternType="solid">
        <fgColor rgb="FFF5F5F5"/>
        <bgColor indexed="64"/>
      </patternFill>
    </fill>
    <fill>
      <patternFill patternType="solid">
        <fgColor rgb="FF2C5F9E"/>
        <bgColor indexed="64"/>
      </patternFill>
    </fill>
    <fill>
      <patternFill patternType="solid">
        <fgColor rgb="FFFAFAFA"/>
        <bgColor indexed="64"/>
      </patternFill>
    </fill>
    <fill>
      <patternFill patternType="solid">
        <fgColor rgb="FFFFF9C4"/>
        <bgColor indexed="64"/>
      </patternFill>
    </fill>
    <fill>
      <patternFill patternType="solid">
        <fgColor rgb="FF009688"/>
        <bgColor indexed="64"/>
      </patternFill>
    </fill>
    <fill>
      <patternFill patternType="solid">
        <fgColor rgb="FF4472C4"/>
        <bgColor rgb="FF4472C4"/>
      </patternFill>
    </fill>
    <fill>
      <patternFill patternType="solid">
        <fgColor rgb="FF5B9BD5"/>
        <bgColor rgb="FF5B9BD5"/>
      </patternFill>
    </fill>
    <fill>
      <patternFill patternType="solid">
        <fgColor theme="4" tint="0.79998168889431442"/>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auto="1"/>
      </bottom>
      <diagonal/>
    </border>
    <border>
      <left/>
      <right/>
      <top style="thin">
        <color auto="1"/>
      </top>
      <bottom style="thin">
        <color auto="1"/>
      </bottom>
      <diagonal/>
    </border>
    <border>
      <left style="thin">
        <color theme="0" tint="-0.499984740745262"/>
      </left>
      <right/>
      <top/>
      <bottom/>
      <diagonal/>
    </border>
    <border>
      <left/>
      <right style="thin">
        <color theme="0" tint="-0.499984740745262"/>
      </right>
      <top/>
      <bottom/>
      <diagonal/>
    </border>
    <border>
      <left/>
      <right/>
      <top/>
      <bottom style="thick">
        <color rgb="FFFF9800"/>
      </bottom>
      <diagonal/>
    </border>
    <border>
      <left style="thin">
        <color rgb="FFE0E0E0"/>
      </left>
      <right style="thin">
        <color rgb="FFE0E0E0"/>
      </right>
      <top style="thin">
        <color rgb="FFE0E0E0"/>
      </top>
      <bottom style="thin">
        <color rgb="FFE0E0E0"/>
      </bottom>
      <diagonal/>
    </border>
    <border>
      <left style="medium">
        <color rgb="FFFBC02D"/>
      </left>
      <right style="medium">
        <color rgb="FFFBC02D"/>
      </right>
      <top style="medium">
        <color rgb="FFFBC02D"/>
      </top>
      <bottom style="medium">
        <color rgb="FFFBC02D"/>
      </bottom>
      <diagonal/>
    </border>
    <border>
      <left style="thin">
        <color rgb="FFC8C8C8"/>
      </left>
      <right style="thin">
        <color rgb="FFC8C8C8"/>
      </right>
      <top style="thin">
        <color rgb="FFC8C8C8"/>
      </top>
      <bottom style="thin">
        <color rgb="FFC8C8C8"/>
      </bottom>
      <diagonal/>
    </border>
    <border>
      <left style="thin">
        <color rgb="FFC8C8C8"/>
      </left>
      <right/>
      <top style="thin">
        <color rgb="FFC8C8C8"/>
      </top>
      <bottom style="thin">
        <color rgb="FFC8C8C8"/>
      </bottom>
      <diagonal/>
    </border>
    <border>
      <left/>
      <right style="thin">
        <color rgb="FFC8C8C8"/>
      </right>
      <top style="thin">
        <color rgb="FFC8C8C8"/>
      </top>
      <bottom style="thin">
        <color rgb="FFC8C8C8"/>
      </bottom>
      <diagonal/>
    </border>
    <border>
      <left style="thin">
        <color rgb="FFC8C8C8"/>
      </left>
      <right style="thin">
        <color rgb="FFC8C8C8"/>
      </right>
      <top style="thin">
        <color rgb="FFC8C8C8"/>
      </top>
      <bottom style="thin">
        <color theme="0" tint="-0.499984740745262"/>
      </bottom>
      <diagonal/>
    </border>
    <border>
      <left style="thin">
        <color rgb="FFC8C8C8"/>
      </left>
      <right style="thin">
        <color rgb="FFC8C8C8"/>
      </right>
      <top style="thin">
        <color rgb="FFC8C8C8"/>
      </top>
      <bottom/>
      <diagonal/>
    </border>
    <border>
      <left style="thin">
        <color rgb="FFC8C8C8"/>
      </left>
      <right style="thin">
        <color rgb="FFC8C8C8"/>
      </right>
      <top style="thin">
        <color theme="0" tint="-0.499984740745262"/>
      </top>
      <bottom style="thin">
        <color rgb="FFC8C8C8"/>
      </bottom>
      <diagonal/>
    </border>
    <border>
      <left style="thin">
        <color rgb="FFC8C8C8"/>
      </left>
      <right style="thin">
        <color rgb="FFC8C8C8"/>
      </right>
      <top/>
      <bottom style="thin">
        <color rgb="FFC8C8C8"/>
      </bottom>
      <diagonal/>
    </border>
  </borders>
  <cellStyleXfs count="5">
    <xf numFmtId="0" fontId="0" fillId="0" borderId="0">
      <alignment vertical="center"/>
    </xf>
    <xf numFmtId="0" fontId="4" fillId="0" borderId="0">
      <alignment vertical="center"/>
    </xf>
    <xf numFmtId="0" fontId="30" fillId="0" borderId="0">
      <alignment vertical="center"/>
    </xf>
    <xf numFmtId="38" fontId="4" fillId="0" borderId="0" applyFont="0" applyFill="0" applyBorder="0" applyAlignment="0" applyProtection="0">
      <alignment vertical="center"/>
    </xf>
    <xf numFmtId="0" fontId="40" fillId="0" borderId="0"/>
  </cellStyleXfs>
  <cellXfs count="116">
    <xf numFmtId="0" fontId="0" fillId="0" borderId="0" xfId="0">
      <alignment vertical="center"/>
    </xf>
    <xf numFmtId="0" fontId="2" fillId="0" borderId="0" xfId="0" applyFont="1">
      <alignment vertical="center"/>
    </xf>
    <xf numFmtId="0" fontId="2" fillId="0" borderId="0" xfId="0" applyFont="1" applyAlignment="1">
      <alignment horizontal="left" vertical="center"/>
    </xf>
    <xf numFmtId="0" fontId="3" fillId="0" borderId="0" xfId="0" applyFont="1">
      <alignment vertical="center"/>
    </xf>
    <xf numFmtId="0" fontId="7" fillId="0" borderId="0" xfId="0" applyFont="1">
      <alignment vertical="center"/>
    </xf>
    <xf numFmtId="0" fontId="8" fillId="0" borderId="0" xfId="0" applyFont="1">
      <alignment vertical="center"/>
    </xf>
    <xf numFmtId="0" fontId="9" fillId="0" borderId="0" xfId="0" applyFont="1" applyAlignment="1">
      <alignment horizontal="right" vertical="center"/>
    </xf>
    <xf numFmtId="0" fontId="10" fillId="0" borderId="0" xfId="0" applyFont="1">
      <alignment vertical="center"/>
    </xf>
    <xf numFmtId="0" fontId="11" fillId="0" borderId="0" xfId="0" applyFont="1">
      <alignment vertical="center"/>
    </xf>
    <xf numFmtId="0" fontId="13" fillId="0" borderId="0" xfId="0" applyFont="1">
      <alignment vertical="center"/>
    </xf>
    <xf numFmtId="0" fontId="13" fillId="3" borderId="6" xfId="0" applyFont="1" applyFill="1" applyBorder="1" applyAlignment="1">
      <alignment horizontal="left" vertical="center"/>
    </xf>
    <xf numFmtId="0" fontId="13" fillId="3" borderId="0" xfId="0" applyFont="1" applyFill="1" applyAlignment="1">
      <alignment horizontal="left" vertical="center"/>
    </xf>
    <xf numFmtId="0" fontId="13" fillId="3" borderId="7" xfId="0" applyFont="1" applyFill="1" applyBorder="1" applyAlignment="1">
      <alignment horizontal="left" vertical="center"/>
    </xf>
    <xf numFmtId="0" fontId="6" fillId="0" borderId="6" xfId="0" applyFont="1" applyBorder="1" applyAlignment="1">
      <alignment horizontal="center" vertical="center"/>
    </xf>
    <xf numFmtId="0" fontId="6" fillId="0" borderId="0" xfId="0" applyFont="1" applyAlignment="1">
      <alignment horizontal="center" vertical="center"/>
    </xf>
    <xf numFmtId="0" fontId="6" fillId="0" borderId="7" xfId="0" applyFont="1" applyBorder="1" applyAlignment="1">
      <alignment horizontal="center" vertical="center"/>
    </xf>
    <xf numFmtId="0" fontId="14" fillId="0" borderId="0" xfId="0" applyFont="1" applyAlignment="1">
      <alignment horizontal="center" vertical="center"/>
    </xf>
    <xf numFmtId="0" fontId="13" fillId="2" borderId="6" xfId="0" applyFont="1" applyFill="1" applyBorder="1" applyAlignment="1">
      <alignment horizontal="left" vertical="center"/>
    </xf>
    <xf numFmtId="0" fontId="13" fillId="2" borderId="0" xfId="0" applyFont="1" applyFill="1" applyAlignment="1">
      <alignment horizontal="left" vertical="center"/>
    </xf>
    <xf numFmtId="0" fontId="13" fillId="2" borderId="7" xfId="0" applyFont="1" applyFill="1" applyBorder="1">
      <alignment vertical="center"/>
    </xf>
    <xf numFmtId="178" fontId="7" fillId="0" borderId="0" xfId="0" applyNumberFormat="1" applyFont="1">
      <alignment vertical="center"/>
    </xf>
    <xf numFmtId="0" fontId="19" fillId="0" borderId="0" xfId="0" applyFont="1" applyAlignment="1">
      <alignment horizontal="left"/>
    </xf>
    <xf numFmtId="0" fontId="18" fillId="0" borderId="0" xfId="0" applyFont="1" applyAlignment="1">
      <alignment horizontal="left"/>
    </xf>
    <xf numFmtId="0" fontId="23" fillId="4" borderId="8" xfId="0" applyFont="1" applyFill="1" applyBorder="1" applyAlignment="1">
      <alignment horizontal="center" vertical="center"/>
    </xf>
    <xf numFmtId="0" fontId="24" fillId="0" borderId="8" xfId="0" applyFont="1" applyBorder="1" applyAlignment="1">
      <alignment horizontal="center" vertical="center"/>
    </xf>
    <xf numFmtId="0" fontId="20" fillId="6" borderId="0" xfId="0" applyFont="1" applyFill="1" applyAlignment="1">
      <alignment horizontal="left" vertical="center" indent="1"/>
    </xf>
    <xf numFmtId="0" fontId="21" fillId="7" borderId="0" xfId="0" applyFont="1" applyFill="1" applyAlignment="1">
      <alignment horizontal="left" vertical="center" indent="1"/>
    </xf>
    <xf numFmtId="0" fontId="7" fillId="7" borderId="0" xfId="0" applyFont="1" applyFill="1" applyAlignment="1">
      <alignment horizontal="left" vertical="center" indent="1"/>
    </xf>
    <xf numFmtId="0" fontId="25" fillId="0" borderId="0" xfId="0" applyFont="1" applyAlignment="1">
      <alignment horizontal="left" vertical="center" indent="1"/>
    </xf>
    <xf numFmtId="0" fontId="26" fillId="0" borderId="0" xfId="0" applyFont="1" applyAlignment="1">
      <alignment horizontal="left" vertical="center" indent="1"/>
    </xf>
    <xf numFmtId="0" fontId="27" fillId="0" borderId="0" xfId="0" applyFont="1" applyAlignment="1">
      <alignment horizontal="center" vertical="center"/>
    </xf>
    <xf numFmtId="14" fontId="2" fillId="5" borderId="9" xfId="0" applyNumberFormat="1" applyFont="1" applyFill="1" applyBorder="1">
      <alignment vertical="center"/>
    </xf>
    <xf numFmtId="0" fontId="2" fillId="0" borderId="9" xfId="0" applyFont="1" applyBorder="1" applyAlignment="1">
      <alignment horizontal="center" vertical="center"/>
    </xf>
    <xf numFmtId="0" fontId="7" fillId="5" borderId="9" xfId="0" applyFont="1" applyFill="1" applyBorder="1" applyAlignment="1">
      <alignment horizontal="center" vertical="center"/>
    </xf>
    <xf numFmtId="178" fontId="7" fillId="5" borderId="9" xfId="0" applyNumberFormat="1" applyFont="1" applyFill="1" applyBorder="1" applyAlignment="1">
      <alignment horizontal="center" vertical="center"/>
    </xf>
    <xf numFmtId="0" fontId="26" fillId="0" borderId="0" xfId="0" applyFont="1" applyAlignment="1">
      <alignment horizontal="left" vertical="center" wrapText="1" indent="1"/>
    </xf>
    <xf numFmtId="0" fontId="7" fillId="8" borderId="10" xfId="0" applyFont="1" applyFill="1" applyBorder="1" applyAlignment="1" applyProtection="1">
      <alignment horizontal="center" vertical="center"/>
      <protection locked="0"/>
    </xf>
    <xf numFmtId="0" fontId="7" fillId="0" borderId="11" xfId="0" applyFont="1" applyBorder="1" applyAlignment="1" applyProtection="1">
      <alignment horizontal="center" vertical="center"/>
      <protection locked="0"/>
    </xf>
    <xf numFmtId="0" fontId="14" fillId="0" borderId="11" xfId="0" applyFont="1" applyBorder="1" applyAlignment="1">
      <alignment horizontal="center" vertical="center"/>
    </xf>
    <xf numFmtId="0" fontId="13" fillId="2" borderId="11" xfId="0" applyFont="1" applyFill="1" applyBorder="1">
      <alignment vertical="center"/>
    </xf>
    <xf numFmtId="0" fontId="13" fillId="3" borderId="11" xfId="0" applyFont="1" applyFill="1" applyBorder="1">
      <alignment vertical="center"/>
    </xf>
    <xf numFmtId="0" fontId="15" fillId="6" borderId="11" xfId="0" applyFont="1" applyFill="1" applyBorder="1" applyAlignment="1">
      <alignment horizontal="center" vertical="center"/>
    </xf>
    <xf numFmtId="0" fontId="15" fillId="4" borderId="11" xfId="0" applyFont="1" applyFill="1" applyBorder="1" applyAlignment="1">
      <alignment horizontal="center" vertical="center"/>
    </xf>
    <xf numFmtId="0" fontId="12" fillId="4" borderId="0" xfId="0" applyFont="1" applyFill="1" applyAlignment="1">
      <alignment horizontal="centerContinuous" vertical="center"/>
    </xf>
    <xf numFmtId="0" fontId="13" fillId="4" borderId="0" xfId="0" applyFont="1" applyFill="1" applyAlignment="1">
      <alignment horizontal="centerContinuous" vertical="center"/>
    </xf>
    <xf numFmtId="0" fontId="15" fillId="9" borderId="11" xfId="0" applyFont="1" applyFill="1" applyBorder="1" applyAlignment="1">
      <alignment horizontal="center" vertical="center" shrinkToFit="1"/>
    </xf>
    <xf numFmtId="0" fontId="12" fillId="9" borderId="0" xfId="0" applyFont="1" applyFill="1" applyAlignment="1">
      <alignment horizontal="centerContinuous" vertical="center"/>
    </xf>
    <xf numFmtId="0" fontId="30" fillId="0" borderId="0" xfId="2" applyAlignment="1">
      <alignment horizontal="center"/>
    </xf>
    <xf numFmtId="0" fontId="30" fillId="0" borderId="0" xfId="2" applyAlignment="1"/>
    <xf numFmtId="179" fontId="30" fillId="0" borderId="0" xfId="2" applyNumberFormat="1" applyAlignment="1">
      <alignment horizontal="center" shrinkToFit="1"/>
    </xf>
    <xf numFmtId="0" fontId="30" fillId="0" borderId="0" xfId="2" applyAlignment="1">
      <alignment horizontal="left"/>
    </xf>
    <xf numFmtId="0" fontId="30" fillId="0" borderId="0" xfId="2" applyAlignment="1">
      <alignment shrinkToFit="1"/>
    </xf>
    <xf numFmtId="0" fontId="33" fillId="0" borderId="0" xfId="2" applyFont="1" applyAlignment="1">
      <alignment horizontal="center"/>
    </xf>
    <xf numFmtId="0" fontId="33" fillId="0" borderId="0" xfId="2" applyFont="1" applyAlignment="1"/>
    <xf numFmtId="55" fontId="33" fillId="0" borderId="0" xfId="2" applyNumberFormat="1" applyFont="1" applyAlignment="1">
      <alignment horizontal="left"/>
    </xf>
    <xf numFmtId="0" fontId="33" fillId="0" borderId="0" xfId="2" applyFont="1" applyAlignment="1">
      <alignment horizontal="left"/>
    </xf>
    <xf numFmtId="3" fontId="34" fillId="0" borderId="0" xfId="2" applyNumberFormat="1" applyFont="1" applyAlignment="1">
      <alignment horizontal="center" vertical="center"/>
    </xf>
    <xf numFmtId="179" fontId="34" fillId="0" borderId="0" xfId="2" applyNumberFormat="1" applyFont="1" applyAlignment="1">
      <alignment horizontal="center" vertical="center"/>
    </xf>
    <xf numFmtId="0" fontId="30" fillId="0" borderId="0" xfId="2" applyAlignment="1">
      <alignment horizontal="center" vertical="center" shrinkToFit="1"/>
    </xf>
    <xf numFmtId="0" fontId="35" fillId="0" borderId="0" xfId="2" applyFont="1" applyAlignment="1">
      <alignment horizontal="center"/>
    </xf>
    <xf numFmtId="55" fontId="35" fillId="0" borderId="4" xfId="2" applyNumberFormat="1" applyFont="1" applyBorder="1" applyAlignment="1">
      <alignment horizontal="center"/>
    </xf>
    <xf numFmtId="0" fontId="30" fillId="0" borderId="0" xfId="2" applyAlignment="1">
      <alignment horizontal="right" vertical="center" shrinkToFit="1"/>
    </xf>
    <xf numFmtId="0" fontId="38" fillId="0" borderId="1" xfId="1" applyFont="1" applyBorder="1" applyAlignment="1">
      <alignment horizontal="center" vertical="center"/>
    </xf>
    <xf numFmtId="0" fontId="38" fillId="0" borderId="1" xfId="1" applyFont="1" applyBorder="1">
      <alignment vertical="center"/>
    </xf>
    <xf numFmtId="180" fontId="38" fillId="0" borderId="1" xfId="1" applyNumberFormat="1" applyFont="1" applyBorder="1">
      <alignment vertical="center"/>
    </xf>
    <xf numFmtId="180" fontId="38" fillId="0" borderId="1" xfId="3" applyNumberFormat="1" applyFont="1" applyFill="1" applyBorder="1">
      <alignment vertical="center"/>
    </xf>
    <xf numFmtId="5" fontId="30" fillId="0" borderId="0" xfId="2" applyNumberFormat="1" applyAlignment="1">
      <alignment horizontal="left"/>
    </xf>
    <xf numFmtId="0" fontId="30" fillId="0" borderId="0" xfId="2" applyAlignment="1">
      <alignment horizontal="left" shrinkToFit="1"/>
    </xf>
    <xf numFmtId="5" fontId="30" fillId="0" borderId="0" xfId="2" applyNumberFormat="1" applyAlignment="1">
      <alignment horizontal="left" vertical="center"/>
    </xf>
    <xf numFmtId="0" fontId="30" fillId="0" borderId="0" xfId="2" applyAlignment="1">
      <alignment horizontal="left" vertical="center"/>
    </xf>
    <xf numFmtId="0" fontId="7" fillId="0" borderId="0" xfId="0" applyFont="1" applyAlignment="1">
      <alignment vertical="center" shrinkToFit="1"/>
    </xf>
    <xf numFmtId="0" fontId="7" fillId="0" borderId="0" xfId="0" applyFont="1" applyAlignment="1">
      <alignment horizontal="left" vertical="center" indent="1"/>
    </xf>
    <xf numFmtId="0" fontId="41" fillId="10" borderId="0" xfId="4" applyFont="1" applyFill="1" applyAlignment="1">
      <alignment horizontal="left" vertical="center"/>
    </xf>
    <xf numFmtId="0" fontId="42" fillId="11" borderId="0" xfId="4" applyFont="1" applyFill="1" applyAlignment="1">
      <alignment horizontal="left" vertical="center"/>
    </xf>
    <xf numFmtId="0" fontId="7" fillId="0" borderId="0" xfId="0" applyFont="1" applyAlignment="1">
      <alignment vertical="center" wrapText="1"/>
    </xf>
    <xf numFmtId="0" fontId="30" fillId="0" borderId="0" xfId="2" applyAlignment="1">
      <alignment horizontal="left" vertical="center" shrinkToFit="1"/>
    </xf>
    <xf numFmtId="181" fontId="30" fillId="0" borderId="0" xfId="2" applyNumberFormat="1" applyAlignment="1">
      <alignment horizontal="right" vertical="center"/>
    </xf>
    <xf numFmtId="0" fontId="15" fillId="6" borderId="0" xfId="0" applyFont="1" applyFill="1">
      <alignment vertical="center"/>
    </xf>
    <xf numFmtId="0" fontId="2" fillId="12" borderId="0" xfId="0" applyFont="1" applyFill="1">
      <alignment vertical="center"/>
    </xf>
    <xf numFmtId="0" fontId="2" fillId="0" borderId="0" xfId="0" applyFont="1" applyAlignment="1">
      <alignment horizontal="left" vertical="center" wrapText="1"/>
    </xf>
    <xf numFmtId="0" fontId="39" fillId="0" borderId="0" xfId="0" applyFont="1">
      <alignment vertical="center"/>
    </xf>
    <xf numFmtId="182" fontId="7" fillId="5" borderId="9" xfId="0" applyNumberFormat="1" applyFont="1" applyFill="1" applyBorder="1" applyAlignment="1">
      <alignment horizontal="center" vertical="center"/>
    </xf>
    <xf numFmtId="182" fontId="43" fillId="0" borderId="0" xfId="0" applyNumberFormat="1" applyFont="1" applyAlignment="1">
      <alignment horizontal="left" vertical="center"/>
    </xf>
    <xf numFmtId="0" fontId="12" fillId="6" borderId="0" xfId="0" applyFont="1" applyFill="1">
      <alignment vertical="center"/>
    </xf>
    <xf numFmtId="0" fontId="7" fillId="0" borderId="0" xfId="0" applyFont="1" applyAlignment="1">
      <alignment horizontal="center" vertical="center"/>
    </xf>
    <xf numFmtId="0" fontId="45" fillId="0" borderId="1" xfId="0" applyFont="1" applyBorder="1">
      <alignment vertical="center"/>
    </xf>
    <xf numFmtId="178" fontId="8" fillId="0" borderId="0" xfId="0" applyNumberFormat="1" applyFont="1">
      <alignment vertical="center"/>
    </xf>
    <xf numFmtId="0" fontId="45" fillId="0" borderId="1" xfId="1" applyFont="1" applyBorder="1">
      <alignment vertical="center"/>
    </xf>
    <xf numFmtId="0" fontId="27" fillId="0" borderId="0" xfId="0" applyFont="1" applyAlignment="1">
      <alignment horizontal="center" vertical="center"/>
    </xf>
    <xf numFmtId="0" fontId="7" fillId="0" borderId="12" xfId="0" applyFont="1" applyBorder="1" applyAlignment="1" applyProtection="1">
      <alignment horizontal="left" vertical="top" wrapText="1"/>
      <protection locked="0"/>
    </xf>
    <xf numFmtId="0" fontId="7" fillId="0" borderId="13" xfId="0" applyFont="1" applyBorder="1" applyAlignment="1" applyProtection="1">
      <alignment horizontal="left" vertical="top" wrapText="1"/>
      <protection locked="0"/>
    </xf>
    <xf numFmtId="0" fontId="31" fillId="0" borderId="0" xfId="2" applyFont="1" applyAlignment="1">
      <alignment horizontal="left" vertical="center"/>
    </xf>
    <xf numFmtId="0" fontId="33" fillId="0" borderId="0" xfId="2" applyFont="1" applyAlignment="1">
      <alignment horizontal="center"/>
    </xf>
    <xf numFmtId="55" fontId="33" fillId="0" borderId="0" xfId="2" applyNumberFormat="1" applyFont="1" applyAlignment="1">
      <alignment horizontal="left"/>
    </xf>
    <xf numFmtId="0" fontId="33" fillId="0" borderId="0" xfId="2" applyFont="1" applyAlignment="1">
      <alignment horizontal="left"/>
    </xf>
    <xf numFmtId="0" fontId="30" fillId="0" borderId="0" xfId="2" applyAlignment="1">
      <alignment horizontal="left"/>
    </xf>
    <xf numFmtId="0" fontId="30" fillId="0" borderId="0" xfId="2" applyAlignment="1">
      <alignment horizontal="center" vertical="center" shrinkToFit="1"/>
    </xf>
    <xf numFmtId="3" fontId="34" fillId="0" borderId="0" xfId="2" applyNumberFormat="1" applyFont="1" applyAlignment="1">
      <alignment horizontal="center" vertical="center"/>
    </xf>
    <xf numFmtId="0" fontId="36" fillId="0" borderId="1" xfId="2" applyFont="1" applyBorder="1" applyAlignment="1">
      <alignment horizontal="center" vertical="center" shrinkToFit="1"/>
    </xf>
    <xf numFmtId="5" fontId="37" fillId="0" borderId="2" xfId="2" applyNumberFormat="1" applyFont="1" applyBorder="1" applyAlignment="1">
      <alignment horizontal="center" vertical="center"/>
    </xf>
    <xf numFmtId="5" fontId="37" fillId="0" borderId="5" xfId="2" applyNumberFormat="1" applyFont="1" applyBorder="1" applyAlignment="1">
      <alignment horizontal="center" vertical="center"/>
    </xf>
    <xf numFmtId="5" fontId="37" fillId="0" borderId="3" xfId="2" applyNumberFormat="1" applyFont="1" applyBorder="1" applyAlignment="1">
      <alignment horizontal="center" vertical="center"/>
    </xf>
    <xf numFmtId="0" fontId="30" fillId="0" borderId="0" xfId="2" applyAlignment="1">
      <alignment horizontal="left" vertical="center" shrinkToFit="1"/>
    </xf>
    <xf numFmtId="0" fontId="13" fillId="0" borderId="11" xfId="0" applyFont="1" applyBorder="1" applyAlignment="1">
      <alignment vertical="center" shrinkToFit="1"/>
    </xf>
    <xf numFmtId="176" fontId="22" fillId="6" borderId="0" xfId="0" applyNumberFormat="1" applyFont="1" applyFill="1" applyAlignment="1">
      <alignment horizontal="center" vertical="center"/>
    </xf>
    <xf numFmtId="0" fontId="15" fillId="6" borderId="14" xfId="0" applyFont="1" applyFill="1" applyBorder="1" applyAlignment="1">
      <alignment horizontal="center" vertical="center"/>
    </xf>
    <xf numFmtId="0" fontId="15" fillId="6" borderId="16" xfId="0" applyFont="1" applyFill="1" applyBorder="1" applyAlignment="1">
      <alignment horizontal="center" vertical="center"/>
    </xf>
    <xf numFmtId="177" fontId="16" fillId="0" borderId="15" xfId="0" applyNumberFormat="1" applyFont="1" applyBorder="1" applyAlignment="1">
      <alignment horizontal="center" vertical="center"/>
    </xf>
    <xf numFmtId="177" fontId="16" fillId="0" borderId="17" xfId="0" applyNumberFormat="1" applyFont="1" applyBorder="1" applyAlignment="1">
      <alignment horizontal="center" vertical="center"/>
    </xf>
    <xf numFmtId="0" fontId="15" fillId="6" borderId="11" xfId="0" applyFont="1" applyFill="1" applyBorder="1" applyAlignment="1">
      <alignment horizontal="center" vertical="center"/>
    </xf>
    <xf numFmtId="0" fontId="46" fillId="6" borderId="0" xfId="0" applyFont="1" applyFill="1" applyAlignment="1">
      <alignment horizontal="left" vertical="center" indent="1"/>
    </xf>
    <xf numFmtId="0" fontId="47" fillId="7" borderId="0" xfId="0" applyFont="1" applyFill="1" applyAlignment="1">
      <alignment horizontal="left" vertical="center" indent="1"/>
    </xf>
    <xf numFmtId="0" fontId="48" fillId="5" borderId="9" xfId="0" applyFont="1" applyFill="1" applyBorder="1" applyAlignment="1">
      <alignment horizontal="center" vertical="center"/>
    </xf>
    <xf numFmtId="178" fontId="49" fillId="5" borderId="9" xfId="0" applyNumberFormat="1" applyFont="1" applyFill="1" applyBorder="1" applyAlignment="1">
      <alignment horizontal="center" vertical="center"/>
    </xf>
    <xf numFmtId="182" fontId="50" fillId="5" borderId="9" xfId="0" applyNumberFormat="1" applyFont="1" applyFill="1" applyBorder="1" applyAlignment="1">
      <alignment horizontal="center" vertical="center"/>
    </xf>
    <xf numFmtId="0" fontId="51" fillId="8" borderId="10" xfId="0" applyFont="1" applyFill="1" applyBorder="1" applyAlignment="1" applyProtection="1">
      <alignment horizontal="center" vertical="center"/>
      <protection locked="0"/>
    </xf>
  </cellXfs>
  <cellStyles count="5">
    <cellStyle name="桁区切り 2" xfId="3" xr:uid="{5B9A7143-3289-4F71-97D2-7BE44F10FA7C}"/>
    <cellStyle name="標準" xfId="0" builtinId="0"/>
    <cellStyle name="標準 2" xfId="1" xr:uid="{87B016E0-8E08-4CB8-83F9-22AF0C438E7D}"/>
    <cellStyle name="標準 2 2" xfId="2" xr:uid="{D77E6AF5-D40B-4F8A-9F76-D2A5F3AB6085}"/>
    <cellStyle name="標準 3" xfId="4" xr:uid="{E3648275-16BA-43C2-B2BA-F43966230BAA}"/>
  </cellStyles>
  <dxfs count="142">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strike val="0"/>
        <outline val="0"/>
        <shadow val="0"/>
        <u val="none"/>
        <vertAlign val="baseline"/>
        <sz val="10"/>
        <color rgb="FF000000"/>
        <name val="メイリオ"/>
        <family val="3"/>
        <charset val="128"/>
        <scheme val="none"/>
      </font>
      <numFmt numFmtId="182" formatCode="0;\-0;;@"/>
      <alignment horizontal="left"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strike val="0"/>
        <outline val="0"/>
        <shadow val="0"/>
        <u val="none"/>
        <vertAlign val="baseline"/>
        <sz val="10"/>
        <color rgb="FF000000"/>
        <name val="メイリオ"/>
        <family val="3"/>
        <charset val="128"/>
        <scheme val="none"/>
      </font>
      <numFmt numFmtId="182" formatCode="0;\-0;;@"/>
      <alignment horizontal="left"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0"/>
        <color rgb="FF000000"/>
        <name val="メイリオ"/>
        <family val="3"/>
        <charset val="128"/>
        <scheme val="none"/>
      </font>
      <numFmt numFmtId="182" formatCode="0;\-0;;@"/>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alignment horizontal="left" vertical="center" textRotation="0" wrapText="1"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right style="thin">
          <color theme="0" tint="-0.499984740745262"/>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right style="thin">
          <color theme="0" tint="-0.499984740745262"/>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style="thin">
          <color theme="0" tint="-0.499984740745262"/>
        </left>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style="thin">
          <color theme="0" tint="-0.499984740745262"/>
        </left>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right style="thin">
          <color theme="0" tint="-0.499984740745262"/>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right style="thin">
          <color theme="0" tint="-0.499984740745262"/>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style="thin">
          <color theme="0" tint="-0.499984740745262"/>
        </left>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style="thin">
          <color theme="0" tint="-0.499984740745262"/>
        </left>
        <right/>
        <top/>
        <bottom/>
      </border>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メイリオ"/>
        <family val="3"/>
        <charset val="128"/>
        <scheme val="none"/>
      </font>
    </dxf>
    <dxf>
      <font>
        <strike val="0"/>
        <outline val="0"/>
        <shadow val="0"/>
        <u val="none"/>
        <vertAlign val="baseline"/>
        <name val="メイリオ"/>
        <family val="3"/>
        <charset val="128"/>
        <scheme val="none"/>
      </font>
    </dxf>
    <dxf>
      <font>
        <strike val="0"/>
        <outline val="0"/>
        <shadow val="0"/>
        <u val="none"/>
        <vertAlign val="baseline"/>
        <name val="メイリオ"/>
        <family val="3"/>
        <charset val="128"/>
        <scheme val="none"/>
      </font>
    </dxf>
    <dxf>
      <font>
        <strike val="0"/>
        <outline val="0"/>
        <shadow val="0"/>
        <u val="none"/>
        <vertAlign val="baseline"/>
        <sz val="10"/>
        <color rgb="FF000000"/>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dxf>
    <dxf>
      <font>
        <color rgb="FF0070C0"/>
      </font>
    </dxf>
    <dxf>
      <font>
        <color rgb="FFFF0000"/>
      </font>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strike val="0"/>
        <outline val="0"/>
        <shadow val="0"/>
        <u val="none"/>
        <vertAlign val="baseline"/>
        <sz val="10"/>
        <color rgb="FF000000"/>
        <name val="メイリオ"/>
        <family val="3"/>
        <charset val="128"/>
        <scheme val="none"/>
      </font>
      <numFmt numFmtId="182" formatCode="0;\-0;;@"/>
      <alignment horizontal="left"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strike val="0"/>
        <outline val="0"/>
        <shadow val="0"/>
        <u val="none"/>
        <vertAlign val="baseline"/>
        <sz val="10"/>
        <color rgb="FF000000"/>
        <name val="メイリオ"/>
        <family val="3"/>
        <charset val="128"/>
        <scheme val="none"/>
      </font>
      <numFmt numFmtId="182" formatCode="0;\-0;;@"/>
      <alignment horizontal="left"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0"/>
        <color rgb="FF000000"/>
        <name val="メイリオ"/>
        <family val="3"/>
        <charset val="128"/>
        <scheme val="none"/>
      </font>
      <numFmt numFmtId="182" formatCode="0;\-0;;@"/>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alignment horizontal="left" vertical="center" textRotation="0" wrapText="1"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right style="thin">
          <color theme="0" tint="-0.499984740745262"/>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right style="thin">
          <color theme="0" tint="-0.499984740745262"/>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style="thin">
          <color theme="0" tint="-0.499984740745262"/>
        </left>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style="thin">
          <color theme="0" tint="-0.499984740745262"/>
        </left>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right style="thin">
          <color theme="0" tint="-0.499984740745262"/>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right style="thin">
          <color theme="0" tint="-0.499984740745262"/>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style="thin">
          <color theme="0" tint="-0.499984740745262"/>
        </left>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style="thin">
          <color theme="0" tint="-0.499984740745262"/>
        </left>
        <right/>
        <top/>
        <bottom/>
      </border>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メイリオ"/>
        <family val="3"/>
        <charset val="128"/>
        <scheme val="none"/>
      </font>
    </dxf>
    <dxf>
      <font>
        <strike val="0"/>
        <outline val="0"/>
        <shadow val="0"/>
        <u val="none"/>
        <vertAlign val="baseline"/>
        <name val="メイリオ"/>
        <family val="3"/>
        <charset val="128"/>
        <scheme val="none"/>
      </font>
    </dxf>
    <dxf>
      <font>
        <strike val="0"/>
        <outline val="0"/>
        <shadow val="0"/>
        <u val="none"/>
        <vertAlign val="baseline"/>
        <name val="メイリオ"/>
        <family val="3"/>
        <charset val="128"/>
        <scheme val="none"/>
      </font>
    </dxf>
    <dxf>
      <font>
        <strike val="0"/>
        <outline val="0"/>
        <shadow val="0"/>
        <u val="none"/>
        <vertAlign val="baseline"/>
        <sz val="10"/>
        <color rgb="FF000000"/>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dxf>
    <dxf>
      <font>
        <color rgb="FF0070C0"/>
      </font>
    </dxf>
    <dxf>
      <font>
        <color rgb="FFFF0000"/>
      </font>
    </dxf>
    <dxf>
      <font>
        <strike val="0"/>
        <outline val="0"/>
        <shadow val="0"/>
        <u val="none"/>
        <vertAlign val="baseline"/>
        <color theme="1"/>
        <name val="メイリオ"/>
        <family val="3"/>
        <charset val="128"/>
        <scheme val="none"/>
      </font>
    </dxf>
    <dxf>
      <font>
        <strike val="0"/>
        <outline val="0"/>
        <shadow val="0"/>
        <u val="none"/>
        <vertAlign val="baseline"/>
        <color theme="1"/>
        <name val="メイリオ"/>
        <family val="3"/>
        <charset val="128"/>
        <scheme val="none"/>
      </font>
    </dxf>
    <dxf>
      <font>
        <strike val="0"/>
        <outline val="0"/>
        <shadow val="0"/>
        <u val="none"/>
        <vertAlign val="baseline"/>
        <color theme="1"/>
        <name val="メイリオ"/>
        <family val="3"/>
        <charset val="128"/>
        <scheme val="none"/>
      </font>
    </dxf>
    <dxf>
      <font>
        <strike val="0"/>
        <outline val="0"/>
        <shadow val="0"/>
        <u val="none"/>
        <vertAlign val="baseline"/>
        <color theme="1"/>
        <name val="メイリオ"/>
        <family val="3"/>
        <charset val="128"/>
        <scheme val="none"/>
      </font>
    </dxf>
    <dxf>
      <font>
        <strike val="0"/>
        <outline val="0"/>
        <shadow val="0"/>
        <u val="none"/>
        <vertAlign val="baseline"/>
        <color theme="1"/>
        <name val="メイリオ"/>
        <family val="3"/>
        <charset val="128"/>
        <scheme val="none"/>
      </font>
    </dxf>
    <dxf>
      <font>
        <strike val="0"/>
        <outline val="0"/>
        <shadow val="0"/>
        <u val="none"/>
        <vertAlign val="baseline"/>
        <sz val="11"/>
        <color theme="1"/>
        <name val="メイリオ"/>
        <family val="3"/>
        <charset val="128"/>
        <scheme val="none"/>
      </font>
    </dxf>
    <dxf>
      <font>
        <strike val="0"/>
        <outline val="0"/>
        <shadow val="0"/>
        <u val="none"/>
        <vertAlign val="baseline"/>
        <sz val="11"/>
        <color rgb="FF000000"/>
        <name val="メイリオ"/>
        <family val="3"/>
        <charset val="128"/>
        <scheme val="none"/>
      </font>
    </dxf>
    <dxf>
      <font>
        <strike val="0"/>
        <outline val="0"/>
        <shadow val="0"/>
        <u val="none"/>
        <vertAlign val="baseline"/>
        <sz val="11"/>
        <color theme="1"/>
        <name val="メイリオ"/>
        <family val="3"/>
        <charset val="128"/>
        <scheme val="none"/>
      </font>
    </dxf>
    <dxf>
      <font>
        <strike val="0"/>
        <outline val="0"/>
        <shadow val="0"/>
        <u val="none"/>
        <vertAlign val="baseline"/>
        <sz val="11"/>
        <color theme="1"/>
        <name val="Meiryo UI"/>
        <family val="3"/>
        <charset val="128"/>
        <scheme val="none"/>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theme="1"/>
        <name val="Meiryo UI"/>
        <family val="3"/>
        <charset val="128"/>
        <scheme val="none"/>
      </font>
      <numFmt numFmtId="0" formatCode="General"/>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theme="1"/>
        <name val="Meiryo UI"/>
        <family val="3"/>
        <charset val="128"/>
        <scheme val="none"/>
      </font>
      <numFmt numFmtId="0" formatCode="Genera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メイリオ"/>
        <family val="3"/>
        <charset val="128"/>
        <scheme val="none"/>
      </font>
      <numFmt numFmtId="0" formatCode="General"/>
    </dxf>
    <dxf>
      <font>
        <b val="0"/>
        <i val="0"/>
        <strike val="0"/>
        <condense val="0"/>
        <extend val="0"/>
        <outline val="0"/>
        <shadow val="0"/>
        <u val="none"/>
        <vertAlign val="baseline"/>
        <sz val="11"/>
        <color theme="1"/>
        <name val="メイリオ"/>
        <family val="3"/>
        <charset val="128"/>
        <scheme val="none"/>
      </font>
      <numFmt numFmtId="0" formatCode="General"/>
    </dxf>
    <dxf>
      <font>
        <strike val="0"/>
        <outline val="0"/>
        <shadow val="0"/>
        <u val="none"/>
        <vertAlign val="baseline"/>
        <sz val="11"/>
        <color theme="1"/>
        <name val="メイリオ"/>
        <family val="3"/>
        <charset val="128"/>
        <scheme val="none"/>
      </font>
    </dxf>
    <dxf>
      <font>
        <strike val="0"/>
        <outline val="0"/>
        <shadow val="0"/>
        <u val="none"/>
        <vertAlign val="baseline"/>
        <sz val="11"/>
        <color theme="1"/>
        <name val="メイリオ"/>
        <family val="3"/>
        <charset val="128"/>
        <scheme val="none"/>
      </font>
    </dxf>
    <dxf>
      <font>
        <b val="0"/>
        <i val="0"/>
        <strike val="0"/>
        <condense val="0"/>
        <extend val="0"/>
        <outline val="0"/>
        <shadow val="0"/>
        <u val="none"/>
        <vertAlign val="baseline"/>
        <sz val="11"/>
        <color theme="1"/>
        <name val="メイリオ"/>
        <family val="3"/>
        <charset val="128"/>
        <scheme val="none"/>
      </font>
      <numFmt numFmtId="178" formatCode="yyyy/mm/dd;@"/>
    </dxf>
    <dxf>
      <font>
        <b val="0"/>
        <i val="0"/>
        <strike val="0"/>
        <condense val="0"/>
        <extend val="0"/>
        <outline val="0"/>
        <shadow val="0"/>
        <u val="none"/>
        <vertAlign val="baseline"/>
        <sz val="11"/>
        <color theme="0" tint="-0.499984740745262"/>
        <name val="メイリオ"/>
        <family val="3"/>
        <charset val="128"/>
        <scheme val="none"/>
      </font>
      <numFmt numFmtId="178" formatCode="yyyy/mm/dd;@"/>
    </dxf>
    <dxf>
      <font>
        <strike val="0"/>
        <outline val="0"/>
        <shadow val="0"/>
        <u val="none"/>
        <vertAlign val="baseline"/>
        <sz val="11"/>
        <color theme="0" tint="-0.499984740745262"/>
        <name val="メイリオ"/>
        <family val="3"/>
        <charset val="128"/>
        <scheme val="none"/>
      </font>
    </dxf>
    <dxf>
      <font>
        <strike val="0"/>
        <outline val="0"/>
        <shadow val="0"/>
        <u val="none"/>
        <vertAlign val="baseline"/>
        <sz val="11"/>
        <color theme="0" tint="-0.499984740745262"/>
        <name val="メイリオ"/>
        <family val="3"/>
        <charset val="128"/>
        <scheme val="none"/>
      </font>
      <border diagonalUp="0" diagonalDown="0">
        <left style="hair">
          <color auto="1"/>
        </left>
        <right/>
        <top style="hair">
          <color auto="1"/>
        </top>
        <bottom style="hair">
          <color auto="1"/>
        </bottom>
        <vertical/>
        <horizontal/>
      </border>
    </dxf>
    <dxf>
      <font>
        <strike val="0"/>
        <outline val="0"/>
        <shadow val="0"/>
        <u val="none"/>
        <vertAlign val="baseline"/>
        <sz val="11"/>
        <color theme="0" tint="-0.499984740745262"/>
        <name val="メイリオ"/>
        <family val="3"/>
        <charset val="128"/>
        <scheme val="none"/>
      </font>
      <border diagonalUp="0" diagonalDown="0">
        <left style="hair">
          <color auto="1"/>
        </left>
        <right style="hair">
          <color auto="1"/>
        </right>
        <top style="hair">
          <color auto="1"/>
        </top>
        <bottom style="hair">
          <color auto="1"/>
        </bottom>
        <vertical/>
        <horizontal/>
      </border>
    </dxf>
    <dxf>
      <font>
        <strike val="0"/>
        <outline val="0"/>
        <shadow val="0"/>
        <u val="none"/>
        <vertAlign val="baseline"/>
        <sz val="11"/>
        <color theme="0" tint="-0.499984740745262"/>
        <name val="メイリオ"/>
        <family val="3"/>
        <charset val="128"/>
        <scheme val="none"/>
      </font>
      <numFmt numFmtId="0" formatCode="General"/>
    </dxf>
    <dxf>
      <font>
        <strike val="0"/>
        <outline val="0"/>
        <shadow val="0"/>
        <u val="none"/>
        <vertAlign val="baseline"/>
        <sz val="11"/>
        <color theme="1"/>
        <name val="メイリオ"/>
        <family val="3"/>
        <charset val="128"/>
        <scheme val="none"/>
      </font>
      <numFmt numFmtId="0" formatCode="General"/>
      <alignment horizontal="center" vertical="center" textRotation="0" wrapText="0" indent="0" justifyLastLine="0" shrinkToFit="0" readingOrder="0"/>
    </dxf>
    <dxf>
      <font>
        <strike val="0"/>
        <outline val="0"/>
        <shadow val="0"/>
        <u val="none"/>
        <vertAlign val="baseline"/>
        <sz val="11"/>
        <color theme="1"/>
        <name val="メイリオ"/>
        <family val="3"/>
        <charset val="128"/>
        <scheme val="none"/>
      </font>
    </dxf>
    <dxf>
      <font>
        <strike val="0"/>
        <outline val="0"/>
        <shadow val="0"/>
        <u val="none"/>
        <vertAlign val="baseline"/>
        <sz val="11"/>
        <color theme="1"/>
        <name val="メイリオ"/>
        <family val="3"/>
        <charset val="128"/>
        <scheme val="none"/>
      </font>
      <alignment horizontal="general" vertical="center" textRotation="0" wrapText="0" indent="0" justifyLastLine="0" shrinkToFit="1" readingOrder="0"/>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b/>
        <i val="0"/>
        <color theme="7"/>
      </font>
    </dxf>
    <dxf>
      <font>
        <color theme="0" tint="-0.499984740745262"/>
      </font>
      <fill>
        <patternFill>
          <bgColor theme="0" tint="-0.14996795556505021"/>
        </patternFill>
      </fill>
    </dxf>
    <dxf>
      <font>
        <color rgb="FF1565C0"/>
      </font>
    </dxf>
    <dxf>
      <font>
        <color rgb="FFC2185B"/>
      </font>
    </dxf>
    <dxf>
      <fill>
        <patternFill>
          <bgColor rgb="FFFAFAFA"/>
        </patternFill>
      </fill>
      <border>
        <vertical style="thin">
          <color rgb="FFD9D9D9"/>
        </vertical>
        <horizontal/>
      </border>
    </dxf>
    <dxf>
      <font>
        <b/>
        <color theme="1"/>
      </font>
    </dxf>
    <dxf>
      <font>
        <b/>
        <color theme="1"/>
      </font>
    </dxf>
    <dxf>
      <font>
        <b/>
        <color theme="1"/>
      </font>
      <border>
        <top style="double">
          <color theme="4"/>
        </top>
      </border>
    </dxf>
    <dxf>
      <font>
        <b/>
        <color theme="0"/>
      </font>
      <fill>
        <patternFill patternType="solid">
          <fgColor theme="4"/>
          <bgColor rgb="FF2C5F9E"/>
        </patternFill>
      </fill>
      <border>
        <bottom style="thin">
          <color rgb="FFD9D9D9"/>
        </bottom>
      </border>
    </dxf>
    <dxf>
      <font>
        <color theme="1"/>
      </font>
      <border>
        <left style="thin">
          <color theme="0" tint="-0.499984740745262"/>
        </left>
        <right style="thin">
          <color theme="0" tint="-0.499984740745262"/>
        </right>
        <top style="thin">
          <color theme="0" tint="-0.499984740745262"/>
        </top>
        <bottom style="thin">
          <color theme="0" tint="-0.499984740745262"/>
        </bottom>
        <vertical style="thin">
          <color rgb="FFC8C8C8"/>
        </vertical>
        <horizontal style="thin">
          <color rgb="FFC8C8C8"/>
        </horizontal>
      </border>
    </dxf>
  </dxfs>
  <tableStyles count="1" defaultTableStyle="TableStyleMedium2" defaultPivotStyle="PivotStyleLight16">
    <tableStyle name="myTable" pivot="0" count="6" xr9:uid="{BBECF766-B8E1-4DCA-B65F-823E26106187}">
      <tableStyleElement type="wholeTable" dxfId="141"/>
      <tableStyleElement type="headerRow" dxfId="140"/>
      <tableStyleElement type="totalRow" dxfId="139"/>
      <tableStyleElement type="firstColumn" dxfId="138"/>
      <tableStyleElement type="lastColumn" dxfId="137"/>
      <tableStyleElement type="secondRowStripe" dxfId="136"/>
    </tableStyle>
  </tableStyles>
  <colors>
    <mruColors>
      <color rgb="FF2C5F9E"/>
      <color rgb="FF009688"/>
      <color rgb="FF2E7D32"/>
      <color rgb="FFFF9800"/>
      <color rgb="FFC8C8C8"/>
      <color rgb="FFFAFAFA"/>
      <color rgb="FFFFF9C4"/>
      <color rgb="FFFBC02D"/>
      <color rgb="FFF5F5F5"/>
      <color rgb="FFE0E0E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17/06/relationships/rdRichValue" Target="richData/rdrichvalue.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17/06/relationships/rdRichValueTypes" Target="richData/rdRichValueType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06/relationships/rdRichValueStructure" Target="richData/rdrichvaluestructure.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hyperlink" Target="#&#20837;&#21147;&#12471;&#12540;&#12488;!A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7</xdr:row>
          <xdr:rowOff>0</xdr:rowOff>
        </xdr:from>
        <xdr:to>
          <xdr:col>5</xdr:col>
          <xdr:colOff>381000</xdr:colOff>
          <xdr:row>7</xdr:row>
          <xdr:rowOff>488950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000-0000015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0" i="0" u="none" strike="noStrike" baseline="0">
                  <a:solidFill>
                    <a:srgbClr val="000000"/>
                  </a:solidFill>
                  <a:latin typeface="メイリオ"/>
                  <a:ea typeface="メイリオ"/>
                </a:rPr>
                <a:t>✨ 日付シート作成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3079750</xdr:rowOff>
        </xdr:from>
        <xdr:to>
          <xdr:col>5</xdr:col>
          <xdr:colOff>381000</xdr:colOff>
          <xdr:row>8</xdr:row>
          <xdr:rowOff>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000-0000025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0" i="0" u="none" strike="noStrike" baseline="0">
                  <a:solidFill>
                    <a:srgbClr val="000000"/>
                  </a:solidFill>
                  <a:latin typeface="メイリオ"/>
                  <a:ea typeface="メイリオ"/>
                </a:rPr>
                <a:t>🧾  雑費請求書作成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4</xdr:row>
          <xdr:rowOff>0</xdr:rowOff>
        </xdr:from>
        <xdr:to>
          <xdr:col>5</xdr:col>
          <xdr:colOff>647700</xdr:colOff>
          <xdr:row>5</xdr:row>
          <xdr:rowOff>50800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100-00000224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0" i="0" u="none" strike="noStrike" baseline="0">
                  <a:solidFill>
                    <a:srgbClr val="000000"/>
                  </a:solidFill>
                  <a:latin typeface="メイリオ"/>
                  <a:ea typeface="メイリオ"/>
                </a:rPr>
                <a:t>➕ 受付登録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xdr:row>
          <xdr:rowOff>0</xdr:rowOff>
        </xdr:from>
        <xdr:to>
          <xdr:col>7</xdr:col>
          <xdr:colOff>260350</xdr:colOff>
          <xdr:row>5</xdr:row>
          <xdr:rowOff>50800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100-00000324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0" i="0" u="none" strike="noStrike" baseline="0">
                  <a:solidFill>
                    <a:srgbClr val="000000"/>
                  </a:solidFill>
                  <a:latin typeface="メイリオ"/>
                  <a:ea typeface="メイリオ"/>
                </a:rPr>
                <a:t>🧹 クリア</a:t>
              </a:r>
            </a:p>
          </xdr:txBody>
        </xdr:sp>
        <xdr:clientData fPrintsWithSheet="0"/>
      </xdr:twoCellAnchor>
    </mc:Choice>
    <mc:Fallback/>
  </mc:AlternateContent>
  <xdr:twoCellAnchor editAs="oneCell">
    <xdr:from>
      <xdr:col>6</xdr:col>
      <xdr:colOff>95250</xdr:colOff>
      <xdr:row>0</xdr:row>
      <xdr:rowOff>431800</xdr:rowOff>
    </xdr:from>
    <xdr:to>
      <xdr:col>7</xdr:col>
      <xdr:colOff>417650</xdr:colOff>
      <xdr:row>2</xdr:row>
      <xdr:rowOff>21100</xdr:rowOff>
    </xdr:to>
    <xdr:sp macro="[0]!wsInput.ClickTodaySheetButton" textlink="">
      <xdr:nvSpPr>
        <xdr:cNvPr id="2" name="Btn本日のシート">
          <a:extLst>
            <a:ext uri="{FF2B5EF4-FFF2-40B4-BE49-F238E27FC236}">
              <a16:creationId xmlns:a16="http://schemas.microsoft.com/office/drawing/2014/main" id="{D29A89BE-F994-4683-BC79-20AE4CDC8AF6}"/>
            </a:ext>
          </a:extLst>
        </xdr:cNvPr>
        <xdr:cNvSpPr/>
      </xdr:nvSpPr>
      <xdr:spPr>
        <a:xfrm>
          <a:off x="6597650" y="431800"/>
          <a:ext cx="982800" cy="31320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kumimoji="1" lang="ja-JP" altLang="en-US" sz="1000">
              <a:latin typeface="メイリオ" panose="020B0604030504040204" pitchFamily="50" charset="-128"/>
              <a:ea typeface="メイリオ" panose="020B0604030504040204" pitchFamily="50" charset="-128"/>
            </a:rPr>
            <a:t>本日のシート</a:t>
          </a:r>
        </a:p>
      </xdr:txBody>
    </xdr:sp>
    <xdr:clientData/>
  </xdr:twoCellAnchor>
  <xdr:twoCellAnchor editAs="oneCell">
    <xdr:from>
      <xdr:col>8</xdr:col>
      <xdr:colOff>0</xdr:colOff>
      <xdr:row>4</xdr:row>
      <xdr:rowOff>0</xdr:rowOff>
    </xdr:from>
    <xdr:to>
      <xdr:col>18</xdr:col>
      <xdr:colOff>44450</xdr:colOff>
      <xdr:row>15</xdr:row>
      <xdr:rowOff>69850</xdr:rowOff>
    </xdr:to>
    <xdr:sp macro="" textlink="">
      <xdr:nvSpPr>
        <xdr:cNvPr id="3" name="テキスト ボックス 2">
          <a:extLst>
            <a:ext uri="{FF2B5EF4-FFF2-40B4-BE49-F238E27FC236}">
              <a16:creationId xmlns:a16="http://schemas.microsoft.com/office/drawing/2014/main" id="{A5EE2662-0062-C1A8-B047-78552DCC1E47}"/>
            </a:ext>
          </a:extLst>
        </xdr:cNvPr>
        <xdr:cNvSpPr txBox="1"/>
      </xdr:nvSpPr>
      <xdr:spPr>
        <a:xfrm>
          <a:off x="7823200" y="1346200"/>
          <a:ext cx="6648450" cy="2736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ja-JP" sz="1000" b="1">
              <a:latin typeface="メイリオ" panose="020B0604030504040204" pitchFamily="50" charset="-128"/>
              <a:ea typeface="メイリオ" panose="020B0604030504040204" pitchFamily="50" charset="-128"/>
            </a:rPr>
            <a:t>【</a:t>
          </a:r>
          <a:r>
            <a:rPr lang="ja-JP" altLang="en-US" sz="1000" b="1">
              <a:latin typeface="メイリオ" panose="020B0604030504040204" pitchFamily="50" charset="-128"/>
              <a:ea typeface="メイリオ" panose="020B0604030504040204" pitchFamily="50" charset="-128"/>
            </a:rPr>
            <a:t>受付</a:t>
          </a:r>
          <a:r>
            <a:rPr lang="en-US" altLang="ja-JP" sz="1000" b="1">
              <a:latin typeface="メイリオ" panose="020B0604030504040204" pitchFamily="50" charset="-128"/>
              <a:ea typeface="メイリオ" panose="020B0604030504040204" pitchFamily="50" charset="-128"/>
            </a:rPr>
            <a:t>No.</a:t>
          </a:r>
          <a:r>
            <a:rPr lang="ja-JP" altLang="en-US" sz="1000" b="1">
              <a:latin typeface="メイリオ" panose="020B0604030504040204" pitchFamily="50" charset="-128"/>
              <a:ea typeface="メイリオ" panose="020B0604030504040204" pitchFamily="50" charset="-128"/>
            </a:rPr>
            <a:t>について</a:t>
          </a:r>
          <a:r>
            <a:rPr lang="en-US" altLang="ja-JP" sz="1000" b="1">
              <a:latin typeface="メイリオ" panose="020B0604030504040204" pitchFamily="50" charset="-128"/>
              <a:ea typeface="メイリオ" panose="020B0604030504040204" pitchFamily="50" charset="-128"/>
            </a:rPr>
            <a:t>】</a:t>
          </a:r>
          <a:endParaRPr lang="ja-JP" altLang="en-US" sz="1000">
            <a:latin typeface="メイリオ" panose="020B0604030504040204" pitchFamily="50" charset="-128"/>
            <a:ea typeface="メイリオ" panose="020B0604030504040204" pitchFamily="50" charset="-128"/>
          </a:endParaRPr>
        </a:p>
        <a:p>
          <a:r>
            <a:rPr lang="ja-JP" altLang="en-US" sz="1000">
              <a:latin typeface="メイリオ" panose="020B0604030504040204" pitchFamily="50" charset="-128"/>
              <a:ea typeface="メイリオ" panose="020B0604030504040204" pitchFamily="50" charset="-128"/>
            </a:rPr>
            <a:t>このシートを選択すると、次に採番される受付番号が自動的に表示されます。</a:t>
          </a:r>
        </a:p>
        <a:p>
          <a:endParaRPr lang="en-US" altLang="ja-JP" sz="1000">
            <a:latin typeface="メイリオ" panose="020B0604030504040204" pitchFamily="50" charset="-128"/>
            <a:ea typeface="メイリオ" panose="020B0604030504040204" pitchFamily="50" charset="-128"/>
          </a:endParaRPr>
        </a:p>
        <a:p>
          <a:r>
            <a:rPr lang="ja-JP" altLang="en-US" sz="1000">
              <a:latin typeface="メイリオ" panose="020B0604030504040204" pitchFamily="50" charset="-128"/>
              <a:ea typeface="メイリオ" panose="020B0604030504040204" pitchFamily="50" charset="-128"/>
            </a:rPr>
            <a:t>・初めて使用する場合（データが全く空の状態）は、最初に入力した番号がそのまま採用されます。 </a:t>
          </a:r>
          <a:endParaRPr lang="en-US" altLang="ja-JP" sz="1000">
            <a:latin typeface="メイリオ" panose="020B0604030504040204" pitchFamily="50" charset="-128"/>
            <a:ea typeface="メイリオ" panose="020B0604030504040204" pitchFamily="50" charset="-128"/>
          </a:endParaRPr>
        </a:p>
        <a:p>
          <a:r>
            <a:rPr lang="ja-JP" altLang="en-US" sz="1000">
              <a:latin typeface="メイリオ" panose="020B0604030504040204" pitchFamily="50" charset="-128"/>
              <a:ea typeface="メイリオ" panose="020B0604030504040204" pitchFamily="50" charset="-128"/>
            </a:rPr>
            <a:t>・既に受付データがある場合は、全日程を通して最も大きい番号の次の番号（</a:t>
          </a:r>
          <a:r>
            <a:rPr lang="en-US" altLang="ja-JP" sz="1000">
              <a:latin typeface="メイリオ" panose="020B0604030504040204" pitchFamily="50" charset="-128"/>
              <a:ea typeface="メイリオ" panose="020B0604030504040204" pitchFamily="50" charset="-128"/>
            </a:rPr>
            <a:t>+1</a:t>
          </a:r>
          <a:r>
            <a:rPr lang="ja-JP" altLang="en-US" sz="1000">
              <a:latin typeface="メイリオ" panose="020B0604030504040204" pitchFamily="50" charset="-128"/>
              <a:ea typeface="メイリオ" panose="020B0604030504040204" pitchFamily="50" charset="-128"/>
            </a:rPr>
            <a:t>）が自動的に表示されます。</a:t>
          </a:r>
        </a:p>
        <a:p>
          <a:endParaRPr lang="en-US" altLang="ja-JP" sz="1000">
            <a:latin typeface="メイリオ" panose="020B0604030504040204" pitchFamily="50" charset="-128"/>
            <a:ea typeface="メイリオ" panose="020B0604030504040204" pitchFamily="50" charset="-128"/>
          </a:endParaRPr>
        </a:p>
        <a:p>
          <a:r>
            <a:rPr lang="en-US" altLang="ja-JP" sz="1000">
              <a:latin typeface="メイリオ" panose="020B0604030504040204" pitchFamily="50" charset="-128"/>
              <a:ea typeface="メイリオ" panose="020B0604030504040204" pitchFamily="50" charset="-128"/>
            </a:rPr>
            <a:t>※</a:t>
          </a:r>
          <a:r>
            <a:rPr lang="ja-JP" altLang="en-US" sz="1000">
              <a:latin typeface="メイリオ" panose="020B0604030504040204" pitchFamily="50" charset="-128"/>
              <a:ea typeface="メイリオ" panose="020B0604030504040204" pitchFamily="50" charset="-128"/>
            </a:rPr>
            <a:t>受付番号は手動で変更することもできますが、通常は自動表示された番号をそのまま使用します。</a:t>
          </a:r>
          <a:endParaRPr lang="en-US" altLang="ja-JP" sz="1000">
            <a:latin typeface="メイリオ" panose="020B0604030504040204" pitchFamily="50" charset="-128"/>
            <a:ea typeface="メイリオ" panose="020B0604030504040204" pitchFamily="50" charset="-128"/>
          </a:endParaRPr>
        </a:p>
        <a:p>
          <a:endParaRPr lang="en-US" altLang="ja-JP" sz="1000">
            <a:latin typeface="メイリオ" panose="020B0604030504040204" pitchFamily="50" charset="-128"/>
            <a:ea typeface="メイリオ" panose="020B0604030504040204" pitchFamily="50" charset="-128"/>
          </a:endParaRPr>
        </a:p>
        <a:p>
          <a:r>
            <a:rPr lang="en-US" altLang="ja-JP" sz="1000" b="1">
              <a:latin typeface="メイリオ" panose="020B0604030504040204" pitchFamily="50" charset="-128"/>
              <a:ea typeface="メイリオ" panose="020B0604030504040204" pitchFamily="50" charset="-128"/>
            </a:rPr>
            <a:t>【</a:t>
          </a:r>
          <a:r>
            <a:rPr lang="ja-JP" altLang="en-US" sz="1000" b="1">
              <a:latin typeface="メイリオ" panose="020B0604030504040204" pitchFamily="50" charset="-128"/>
              <a:ea typeface="メイリオ" panose="020B0604030504040204" pitchFamily="50" charset="-128"/>
            </a:rPr>
            <a:t>日付について</a:t>
          </a:r>
          <a:r>
            <a:rPr lang="en-US" altLang="ja-JP" sz="1000" b="1">
              <a:latin typeface="メイリオ" panose="020B0604030504040204" pitchFamily="50" charset="-128"/>
              <a:ea typeface="メイリオ" panose="020B0604030504040204" pitchFamily="50" charset="-128"/>
            </a:rPr>
            <a:t>】</a:t>
          </a:r>
        </a:p>
        <a:p>
          <a:r>
            <a:rPr lang="ja-JP" altLang="en-US" sz="1000">
              <a:latin typeface="メイリオ" panose="020B0604030504040204" pitchFamily="50" charset="-128"/>
              <a:ea typeface="メイリオ" panose="020B0604030504040204" pitchFamily="50" charset="-128"/>
            </a:rPr>
            <a:t>初期状態は関数で当日の日付が入ります。もし任意の日付に変更される際には手動で変更をお願いします。 </a:t>
          </a:r>
        </a:p>
      </xdr:txBody>
    </xdr:sp>
    <xdr:clientData/>
  </xdr:twoCellAnchor>
  <mc:AlternateContent xmlns:mc="http://schemas.openxmlformats.org/markup-compatibility/2006">
    <mc:Choice xmlns:a14="http://schemas.microsoft.com/office/drawing/2010/main" Requires="a14">
      <xdr:twoCellAnchor editAs="oneCell">
        <xdr:from>
          <xdr:col>4</xdr:col>
          <xdr:colOff>0</xdr:colOff>
          <xdr:row>8</xdr:row>
          <xdr:rowOff>0</xdr:rowOff>
        </xdr:from>
        <xdr:to>
          <xdr:col>5</xdr:col>
          <xdr:colOff>647700</xdr:colOff>
          <xdr:row>9</xdr:row>
          <xdr:rowOff>31750</xdr:rowOff>
        </xdr:to>
        <xdr:sp macro="" textlink="">
          <xdr:nvSpPr>
            <xdr:cNvPr id="9231" name="Button 15" hidden="1">
              <a:extLst>
                <a:ext uri="{63B3BB69-23CF-44E3-9099-C40C66FF867C}">
                  <a14:compatExt spid="_x0000_s9231"/>
                </a:ext>
                <a:ext uri="{FF2B5EF4-FFF2-40B4-BE49-F238E27FC236}">
                  <a16:creationId xmlns:a16="http://schemas.microsoft.com/office/drawing/2014/main" id="{00000000-0008-0000-0100-00000F2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 フリー3で検索</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xdr:col>
      <xdr:colOff>368300</xdr:colOff>
      <xdr:row>0</xdr:row>
      <xdr:rowOff>76200</xdr:rowOff>
    </xdr:from>
    <xdr:to>
      <xdr:col>3</xdr:col>
      <xdr:colOff>1352550</xdr:colOff>
      <xdr:row>1</xdr:row>
      <xdr:rowOff>25400</xdr:rowOff>
    </xdr:to>
    <xdr:sp macro="" textlink="">
      <xdr:nvSpPr>
        <xdr:cNvPr id="2" name="四角形: 角を丸くする 1">
          <a:hlinkClick xmlns:r="http://schemas.openxmlformats.org/officeDocument/2006/relationships" r:id="rId1"/>
          <a:extLst>
            <a:ext uri="{FF2B5EF4-FFF2-40B4-BE49-F238E27FC236}">
              <a16:creationId xmlns:a16="http://schemas.microsoft.com/office/drawing/2014/main" id="{626849E4-6C89-46E2-663D-53A6D779CB2F}"/>
            </a:ext>
          </a:extLst>
        </xdr:cNvPr>
        <xdr:cNvSpPr/>
      </xdr:nvSpPr>
      <xdr:spPr>
        <a:xfrm>
          <a:off x="3009900" y="76200"/>
          <a:ext cx="984250" cy="311150"/>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kumimoji="1" lang="ja-JP" altLang="en-US" sz="1000">
              <a:latin typeface="メイリオ" panose="020B0604030504040204" pitchFamily="50" charset="-128"/>
              <a:ea typeface="メイリオ" panose="020B0604030504040204" pitchFamily="50" charset="-128"/>
            </a:rPr>
            <a:t>入力シート</a:t>
          </a:r>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3D43147-A17D-45B0-8E0A-08C69C3DA342}" name="受診者マスタ" displayName="受診者マスタ" ref="B3:O142" totalsRowShown="0" headerRowDxfId="121" dataDxfId="120">
  <autoFilter ref="B3:O142" xr:uid="{63D43147-A17D-45B0-8E0A-08C69C3DA342}"/>
  <tableColumns count="14">
    <tableColumn id="14" xr3:uid="{72F4EF4A-0D45-49C9-8AA8-F18B173A11A2}" name="受付済み" dataDxfId="119"/>
    <tableColumn id="8" xr3:uid="{1AB1F92A-19ED-4728-8045-97388611EC8E}" name="検索キー" dataDxfId="118">
      <calculatedColumnFormula>受診者マスタ[[#This Row],[会社名]]&amp;"_"&amp;受診者マスタ[[#This Row],[氏名]]</calculatedColumnFormula>
    </tableColumn>
    <tableColumn id="2" xr3:uid="{3E3A8FEF-A341-4C3A-9D3D-85B01BF7341F}" name="氏名" dataDxfId="117"/>
    <tableColumn id="3" xr3:uid="{C0279042-1764-4CE6-9064-C931D5DE8C7F}" name="カナ氏名" dataDxfId="116"/>
    <tableColumn id="4" xr3:uid="{D0CA25C6-2D54-4702-B496-854E83A4A91A}" name="性別" dataDxfId="115"/>
    <tableColumn id="10" xr3:uid="{78649FC9-2D6E-4F05-9FBB-10FA49E3FEAA}" name="生年月日" dataDxfId="114"/>
    <tableColumn id="11" xr3:uid="{F920B49E-BBA2-4FB5-AF59-34345EB1B8B6}" name="健保名" dataDxfId="113"/>
    <tableColumn id="1" xr3:uid="{5CFFA840-3DF1-4753-8CA6-E54971FB7E99}" name="会社名" dataDxfId="112"/>
    <tableColumn id="5" xr3:uid="{F7A82340-7E12-4241-B89F-D71AE3E160CD}" name="検診コース" dataDxfId="111"/>
    <tableColumn id="9" xr3:uid="{43E49ADE-0BF7-4E79-B8F2-4559D96AE498}" name="正式コース名" dataDxfId="110">
      <calculatedColumnFormula>IFERROR(INDEX(tbl_コース[正式コース名],MATCH(受診者マスタ[[#This Row],[検診コース]],tbl_コース[コース],0)),"")</calculatedColumnFormula>
    </tableColumn>
    <tableColumn id="7" xr3:uid="{0EB9A06B-F3E8-447F-A8D9-98CC6B491C42}" name="年齢" dataDxfId="109">
      <calculatedColumnFormula>IF(受診者マスタ[[#This Row],[生年月日]]="","",DATEDIF(受診者マスタ[[#This Row],[生年月日]],IF(MONTH(TODAY())&gt;=4,DATE(YEAR(TODAY())+1,3,31),DATE(YEAR(TODAY()),3,31)),"Y"))</calculatedColumnFormula>
    </tableColumn>
    <tableColumn id="6" xr3:uid="{17B08264-4EAE-44E5-8DF6-C0C31BB02318}" name="フリー1" dataDxfId="108"/>
    <tableColumn id="12" xr3:uid="{00F48F32-2133-4A1F-8D7B-EDBF2DE099A3}" name="フリー2" dataDxfId="107"/>
    <tableColumn id="13" xr3:uid="{84BCD077-BBEA-447B-80C8-CCA0C3DEC9E0}" name="フリー3" dataDxfId="106"/>
  </tableColumns>
  <tableStyleInfo name="myTabl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179FA79-830C-4CC2-ACFE-D51CF6F3C58D}" name="会社マスタ" displayName="会社マスタ" ref="B3:B7" totalsRowShown="0" headerRowDxfId="105" dataDxfId="104">
  <autoFilter ref="B3:B7" xr:uid="{63D43147-A17D-45B0-8E0A-08C69C3DA342}"/>
  <sortState xmlns:xlrd2="http://schemas.microsoft.com/office/spreadsheetml/2017/richdata2" ref="B4:B7">
    <sortCondition ref="B6:B7"/>
  </sortState>
  <tableColumns count="1">
    <tableColumn id="1" xr3:uid="{5D92E6EB-8CEB-45DE-947A-772C84D32992}" name="会社名" dataDxfId="103"/>
  </tableColumns>
  <tableStyleInfo name="myTabl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091FF7E-1EFB-414B-9A25-F781927C2DD0}" name="tbl_コース" displayName="tbl_コース" ref="B14:D20" totalsRowShown="0" headerRowDxfId="102" dataDxfId="101">
  <autoFilter ref="B14:D20" xr:uid="{7091FF7E-1EFB-414B-9A25-F781927C2DD0}"/>
  <tableColumns count="3">
    <tableColumn id="1" xr3:uid="{08AD2BC4-98C3-49E9-AE69-580C1453BCAD}" name="コース" dataDxfId="100"/>
    <tableColumn id="2" xr3:uid="{FC81DC4E-B544-4833-B3E7-B822BA311944}" name="正式コース名" dataDxfId="99"/>
    <tableColumn id="3" xr3:uid="{E5118810-FBFC-4F05-B715-FE82AB5A39E4}" name="請求先" dataDxfId="98"/>
  </tableColumns>
  <tableStyleInfo name="myTabl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79C0DE5-E4AB-4CFE-AB04-B5AEE0ABE0C7}" name="tblDay1" displayName="tblDay1" ref="B12:W23" totalsRowCount="1" headerRowDxfId="95" dataDxfId="94" totalsRowDxfId="93">
  <autoFilter ref="B12:W22" xr:uid="{72AC3D1D-5DE9-429F-9932-B2EC4E73F90E}"/>
  <tableColumns count="22">
    <tableColumn id="8" xr3:uid="{318850F8-FD6E-46FE-B41D-FADB9FA01CEF}" name="受付No." totalsRowLabel="集計" dataDxfId="92" totalsRowDxfId="91"/>
    <tableColumn id="1" xr3:uid="{4314CD4B-7067-488A-BDCF-3692DA12AA9B}" name="会社名" totalsRowFunction="count" dataDxfId="90" totalsRowDxfId="89"/>
    <tableColumn id="2" xr3:uid="{A79D9F02-AB8C-4C8A-813A-1EE94ED14B2F}" name="氏名" dataDxfId="88" totalsRowDxfId="87"/>
    <tableColumn id="13" xr3:uid="{8D0D1ABF-D96A-4A4F-9A4F-871DCBE93E33}" name="カナ氏名" dataDxfId="86" totalsRowDxfId="85">
      <calculatedColumnFormula>IF(AND(tblDay1[[#This Row],[会社名]]="",tblDay1[[#This Row],[氏名]]=""),"",IFERROR(INDEX(受診者マスタ[カナ氏名],MATCH(tblDay1[[#This Row],[会社名]]&amp;"_"&amp;tblDay1[[#This Row],[氏名]],受診者マスタ[検索キー],0)),""))</calculatedColumnFormula>
    </tableColumn>
    <tableColumn id="12" xr3:uid="{202253FD-97F7-4127-909C-0D9696C49D8D}" name="性別" dataDxfId="84" totalsRowDxfId="83">
      <calculatedColumnFormula>IF(AND(tblDay1[[#This Row],[会社名]]="",tblDay1[[#This Row],[氏名]]=""),"",IFERROR(INDEX(受診者マスタ[性別],MATCH(tblDay1[[#This Row],[会社名]]&amp;"_"&amp;tblDay1[[#This Row],[氏名]],受診者マスタ[検索キー],0)),""))</calculatedColumnFormula>
    </tableColumn>
    <tableColumn id="6" xr3:uid="{5E469095-2543-4492-8FB8-E13C61714CAF}" name="年齢" dataDxfId="82" totalsRowDxfId="81">
      <calculatedColumnFormula>IF(AND(tblDay1[[#This Row],[会社名]]="",tblDay1[[#This Row],[氏名]]=""),"",IFERROR(INDEX(受診者マスタ[年齢],MATCH(tblDay1[[#This Row],[会社名]]&amp;"_"&amp;tblDay1[[#This Row],[氏名]],受診者マスタ[検索キー],0)),""))</calculatedColumnFormula>
    </tableColumn>
    <tableColumn id="5" xr3:uid="{90EA5CFD-2D3B-4EA6-BB37-8BADD85363E5}" name="コース" dataDxfId="80" totalsRowDxfId="79">
      <calculatedColumnFormula>IF(AND(tblDay1[[#This Row],[会社名]]="",tblDay1[[#This Row],[氏名]]=""),"",IFERROR(INDEX(受診者マスタ[検診コース],MATCH(tblDay1[[#This Row],[会社名]]&amp;"_"&amp;tblDay1[[#This Row],[氏名]],受診者マスタ[検索キー],0)),""))</calculatedColumnFormula>
    </tableColumn>
    <tableColumn id="23" xr3:uid="{BD0B6FEC-C265-4914-92EE-6FFA096902B2}" name="2本" totalsRowFunction="count" dataDxfId="78" totalsRowDxfId="77"/>
    <tableColumn id="22" xr3:uid="{B82B48CF-E237-4DBB-A397-7AFF3409A13B}" name="1本" totalsRowFunction="count" dataDxfId="76" totalsRowDxfId="75"/>
    <tableColumn id="21" xr3:uid="{C7E8522E-074A-4BBC-92D0-5D6279B21C12}" name="ｷｬﾝｾﾙ" totalsRowFunction="count" dataDxfId="74" totalsRowDxfId="73"/>
    <tableColumn id="4" xr3:uid="{16A0F70B-3518-4901-B419-8DD15A338BA9}" name="男性ｾｯﾄ" totalsRowFunction="count" dataDxfId="72" totalsRowDxfId="71"/>
    <tableColumn id="17" xr3:uid="{D4659DB0-75AA-4431-8D46-2184D87869CE}" name="PSA" totalsRowFunction="count" dataDxfId="70" totalsRowDxfId="69"/>
    <tableColumn id="16" xr3:uid="{02663970-1375-49B6-B825-A34A6B7F45D7}" name="BNP" totalsRowFunction="count" dataDxfId="68" totalsRowDxfId="67"/>
    <tableColumn id="15" xr3:uid="{512E5DED-98D1-48B1-9F39-C7EDB8E41664}" name="女性ｾｯﾄ" totalsRowFunction="count" dataDxfId="66" totalsRowDxfId="65"/>
    <tableColumn id="14" xr3:uid="{1F54B2DC-4625-4D40-B5CF-B4D52F9E4000}" name="消化器" totalsRowFunction="count" dataDxfId="64" totalsRowDxfId="63"/>
    <tableColumn id="10" xr3:uid="{7D438E41-8F99-45A3-91C6-2C1C6CA90EED}" name="脳梗塞" totalsRowFunction="count" dataDxfId="62" totalsRowDxfId="61"/>
    <tableColumn id="9" xr3:uid="{FC5098C2-E927-4FE5-927F-5F477F7642FF}" name="ABC" totalsRowFunction="count" dataDxfId="60" totalsRowDxfId="59"/>
    <tableColumn id="7" xr3:uid="{6164A4A4-B382-48DB-8B28-18EEB71C5F10}" name="ｱﾚﾙｷﾞｰ" totalsRowFunction="count" dataDxfId="58" totalsRowDxfId="57"/>
    <tableColumn id="11" xr3:uid="{759CA7B4-4A4C-44F0-A315-DD6317C74B59}" name="備考" dataDxfId="56" totalsRowDxfId="55"/>
    <tableColumn id="3" xr3:uid="{62C341BE-56EE-4B6B-9D04-70ADC77EC74C}" name="フリー1" dataDxfId="54" totalsRowDxfId="53">
      <calculatedColumnFormula>IF(AND(tblDay1[[#This Row],[会社名]]="",tblDay1[[#This Row],[氏名]]=""),"",IFERROR(INDEX(受診者マスタ[フリー1],MATCH(tblDay1[[#This Row],[会社名]]&amp;"_"&amp;tblDay1[[#This Row],[氏名]],受診者マスタ[検索キー],0)),""))</calculatedColumnFormula>
    </tableColumn>
    <tableColumn id="18" xr3:uid="{774E378F-5B83-42CF-9855-B9970DADE23E}" name="フリー2" dataDxfId="52" totalsRowDxfId="51">
      <calculatedColumnFormula>IF(AND(tblDay1[[#This Row],[会社名]]="",tblDay1[[#This Row],[氏名]]=""),"",IFERROR(INDEX(受診者マスタ[フリー2],MATCH(tblDay1[[#This Row],[会社名]]&amp;"_"&amp;tblDay1[[#This Row],[氏名]],受診者マスタ[検索キー],0)),""))</calculatedColumnFormula>
    </tableColumn>
    <tableColumn id="19" xr3:uid="{4990938B-7913-4F56-A5A3-6E5184980EDF}" name="フリー3" dataDxfId="50" totalsRowDxfId="49">
      <calculatedColumnFormula>IF(AND(tblDay1[[#This Row],[会社名]]="",tblDay1[[#This Row],[氏名]]=""),"",IFERROR(INDEX(受診者マスタ[フリー3],MATCH(tblDay1[[#This Row],[会社名]]&amp;"_"&amp;tblDay1[[#This Row],[氏名]],受診者マスタ[検索キー],0)),""))</calculatedColumnFormula>
    </tableColumn>
  </tableColumns>
  <tableStyleInfo name="myTable"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F50B63-5663-4AF1-8789-0E4E605EFC47}">
  <sheetPr codeName="Sheet2">
    <tabColor theme="4"/>
  </sheetPr>
  <dimension ref="B1:B12"/>
  <sheetViews>
    <sheetView showGridLines="0" workbookViewId="0"/>
  </sheetViews>
  <sheetFormatPr defaultColWidth="8.58203125" defaultRowHeight="17.5" x14ac:dyDescent="0.55000000000000004"/>
  <cols>
    <col min="1" max="1" width="1.58203125" style="4" customWidth="1"/>
    <col min="2" max="2" width="92.08203125" style="4" customWidth="1"/>
    <col min="3" max="16384" width="8.58203125" style="4"/>
  </cols>
  <sheetData>
    <row r="1" spans="2:2" ht="5.15" customHeight="1" x14ac:dyDescent="0.55000000000000004"/>
    <row r="2" spans="2:2" ht="28.5" x14ac:dyDescent="0.55000000000000004">
      <c r="B2" s="72" t="s">
        <v>114</v>
      </c>
    </row>
    <row r="4" spans="2:2" ht="22.5" x14ac:dyDescent="0.55000000000000004">
      <c r="B4" s="73" t="s">
        <v>115</v>
      </c>
    </row>
    <row r="5" spans="2:2" ht="122.5" x14ac:dyDescent="0.55000000000000004">
      <c r="B5" s="74" t="s">
        <v>116</v>
      </c>
    </row>
    <row r="7" spans="2:2" ht="22.5" x14ac:dyDescent="0.55000000000000004">
      <c r="B7" s="73" t="s">
        <v>117</v>
      </c>
    </row>
    <row r="8" spans="2:2" ht="280" x14ac:dyDescent="0.55000000000000004">
      <c r="B8" s="74" t="s">
        <v>120</v>
      </c>
    </row>
    <row r="10" spans="2:2" ht="22.5" x14ac:dyDescent="0.55000000000000004">
      <c r="B10" s="73" t="s">
        <v>118</v>
      </c>
    </row>
    <row r="11" spans="2:2" ht="350" x14ac:dyDescent="0.55000000000000004">
      <c r="B11" s="74" t="s">
        <v>119</v>
      </c>
    </row>
    <row r="12" spans="2:2" x14ac:dyDescent="0.55000000000000004">
      <c r="B12" s="74"/>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CreateDateSheet">
                <anchor moveWithCells="1">
                  <from>
                    <xdr:col>3</xdr:col>
                    <xdr:colOff>0</xdr:colOff>
                    <xdr:row>7</xdr:row>
                    <xdr:rowOff>0</xdr:rowOff>
                  </from>
                  <to>
                    <xdr:col>5</xdr:col>
                    <xdr:colOff>381000</xdr:colOff>
                    <xdr:row>7</xdr:row>
                    <xdr:rowOff>488950</xdr:rowOff>
                  </to>
                </anchor>
              </controlPr>
            </control>
          </mc:Choice>
        </mc:AlternateContent>
        <mc:AlternateContent xmlns:mc="http://schemas.openxmlformats.org/markup-compatibility/2006">
          <mc:Choice Requires="x14">
            <control shapeId="23554" r:id="rId4" name="Button 2">
              <controlPr defaultSize="0" print="0" autoFill="0" autoPict="0" macro="[0]!CreateMiscInvoices">
                <anchor moveWithCells="1">
                  <from>
                    <xdr:col>3</xdr:col>
                    <xdr:colOff>0</xdr:colOff>
                    <xdr:row>7</xdr:row>
                    <xdr:rowOff>3079750</xdr:rowOff>
                  </from>
                  <to>
                    <xdr:col>5</xdr:col>
                    <xdr:colOff>381000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03A540-570F-4855-989A-05DC7ECA6572}">
  <sheetPr codeName="wsInput">
    <tabColor theme="9"/>
  </sheetPr>
  <dimension ref="B1:AA33"/>
  <sheetViews>
    <sheetView showGridLines="0" zoomScale="140" zoomScaleNormal="140" workbookViewId="0">
      <selection activeCell="C7" sqref="C7"/>
    </sheetView>
  </sheetViews>
  <sheetFormatPr defaultColWidth="8.58203125" defaultRowHeight="17.5" x14ac:dyDescent="0.55000000000000004"/>
  <cols>
    <col min="1" max="1" width="3.58203125" style="4" customWidth="1"/>
    <col min="2" max="2" width="24" style="4" customWidth="1"/>
    <col min="3" max="3" width="42" style="4" customWidth="1"/>
    <col min="4" max="4" width="11.83203125" style="28" customWidth="1"/>
    <col min="5" max="5" width="8.58203125" style="4"/>
    <col min="6" max="6" width="13.08203125" style="4" customWidth="1"/>
    <col min="7" max="26" width="8.58203125" style="4"/>
    <col min="27" max="27" width="9" style="80" bestFit="1" customWidth="1"/>
    <col min="28" max="16384" width="8.58203125" style="4"/>
  </cols>
  <sheetData>
    <row r="1" spans="2:27" ht="28.5" customHeight="1" x14ac:dyDescent="0.55000000000000004">
      <c r="B1" s="88" t="s">
        <v>51</v>
      </c>
      <c r="C1" s="88"/>
      <c r="D1" s="30"/>
      <c r="AA1" s="80"/>
    </row>
    <row r="2" spans="2:27" ht="21" customHeight="1" x14ac:dyDescent="0.55000000000000004">
      <c r="E2" s="32" t="s">
        <v>2</v>
      </c>
      <c r="F2" s="31">
        <f ca="1">TODAY()</f>
        <v>45992</v>
      </c>
    </row>
    <row r="3" spans="2:27" ht="38.5" thickBot="1" x14ac:dyDescent="0.6">
      <c r="B3" s="23" t="s">
        <v>13</v>
      </c>
      <c r="C3" s="24">
        <v>1</v>
      </c>
      <c r="D3" s="29" t="s">
        <v>20</v>
      </c>
    </row>
    <row r="4" spans="2:27" ht="18" thickTop="1" x14ac:dyDescent="0.55000000000000004"/>
    <row r="5" spans="2:27" ht="28" customHeight="1" thickBot="1" x14ac:dyDescent="0.6">
      <c r="B5" s="110" t="s">
        <v>18</v>
      </c>
      <c r="C5" s="110"/>
    </row>
    <row r="6" spans="2:27" ht="34" customHeight="1" thickBot="1" x14ac:dyDescent="0.6">
      <c r="B6" s="111" t="s">
        <v>7</v>
      </c>
      <c r="C6" s="115"/>
      <c r="D6" s="35" t="s">
        <v>52</v>
      </c>
    </row>
    <row r="7" spans="2:27" ht="34" customHeight="1" thickBot="1" x14ac:dyDescent="0.6">
      <c r="B7" s="111" t="s">
        <v>8</v>
      </c>
      <c r="C7" s="115"/>
      <c r="D7" s="29" t="s">
        <v>52</v>
      </c>
    </row>
    <row r="8" spans="2:27" ht="5.15" customHeight="1" x14ac:dyDescent="0.55000000000000004">
      <c r="D8" s="4"/>
    </row>
    <row r="9" spans="2:27" ht="28" customHeight="1" x14ac:dyDescent="0.55000000000000004">
      <c r="B9" s="111" t="s">
        <v>9</v>
      </c>
      <c r="C9" s="112" t="str">
        <f>IF(OR(会社名="",氏名=""),"",IFERROR(IF(INDEX(受診者マスタ[カナ氏名],MATCH(会社名&amp;"_"&amp;氏名,受診者マスタ[検索キー],0))="","",INDEX(受診者マスタ[カナ氏名],MATCH(会社名&amp;"_"&amp;氏名,受診者マスタ[検索キー],0))),""))</f>
        <v/>
      </c>
      <c r="D9" s="29" t="s">
        <v>20</v>
      </c>
    </row>
    <row r="10" spans="2:27" ht="28" customHeight="1" x14ac:dyDescent="0.55000000000000004">
      <c r="B10" s="111" t="s">
        <v>6</v>
      </c>
      <c r="C10" s="112" t="str">
        <f>IF(OR(会社名="",氏名=""),"",IFERROR(IF(INDEX(受診者マスタ[性別],MATCH(会社名&amp;"_"&amp;氏名,受診者マスタ[検索キー],0))="","",INDEX(受診者マスタ[性別],MATCH(会社名&amp;"_"&amp;氏名,受診者マスタ[検索キー],0))),""))</f>
        <v/>
      </c>
      <c r="D10" s="29" t="s">
        <v>20</v>
      </c>
    </row>
    <row r="11" spans="2:27" ht="28" customHeight="1" x14ac:dyDescent="0.55000000000000004">
      <c r="B11" s="111" t="s">
        <v>48</v>
      </c>
      <c r="C11" s="113" t="str">
        <f>IF(OR(会社名="",氏名=""),"",IFERROR(IF(INDEX(受診者マスタ[生年月日],MATCH(会社名&amp;"_"&amp;氏名,受診者マスタ[検索キー],0))="","",INDEX(受診者マスタ[生年月日],MATCH(会社名&amp;"_"&amp;氏名,受診者マスタ[検索キー],0))),""))</f>
        <v/>
      </c>
      <c r="D11" s="29" t="s">
        <v>20</v>
      </c>
    </row>
    <row r="12" spans="2:27" ht="28" customHeight="1" x14ac:dyDescent="0.55000000000000004">
      <c r="B12" s="111" t="s">
        <v>36</v>
      </c>
      <c r="C12" s="112" t="str">
        <f>IF(OR(会社名="",氏名=""),"",IFERROR(IF(INDEX(受診者マスタ[年齢],MATCH(会社名&amp;"_"&amp;氏名,受診者マスタ[検索キー],0))="","",INDEX(受診者マスタ[年齢],MATCH(会社名&amp;"_"&amp;氏名,受診者マスタ[検索キー],0))),""))</f>
        <v/>
      </c>
      <c r="D12" s="29" t="s">
        <v>20</v>
      </c>
    </row>
    <row r="13" spans="2:27" ht="28" customHeight="1" x14ac:dyDescent="0.55000000000000004">
      <c r="B13" s="111" t="s">
        <v>10</v>
      </c>
      <c r="C13" s="112" t="str">
        <f>IF(OR(会社名="",氏名=""),"",IFERROR(IF(INDEX(受診者マスタ[検診コース],MATCH(会社名&amp;"_"&amp;氏名,受診者マスタ[検索キー],0))="","",INDEX(受診者マスタ[検診コース],MATCH(会社名&amp;"_"&amp;氏名,受診者マスタ[検索キー],0))),""))</f>
        <v/>
      </c>
      <c r="D13" s="29" t="s">
        <v>20</v>
      </c>
    </row>
    <row r="14" spans="2:27" ht="28" customHeight="1" x14ac:dyDescent="0.55000000000000004">
      <c r="B14" s="111" t="s">
        <v>99</v>
      </c>
      <c r="C14" s="112" t="str">
        <f>IF(OR(会社名="",氏名=""),"",IFERROR(IF(INDEX(受診者マスタ[正式コース名],MATCH(会社名&amp;"_"&amp;氏名,受診者マスタ[検索キー],0))="","",INDEX(受診者マスタ[正式コース名],MATCH(会社名&amp;"_"&amp;氏名,受診者マスタ[検索キー],0))),""))</f>
        <v/>
      </c>
      <c r="D14" s="29" t="s">
        <v>20</v>
      </c>
    </row>
    <row r="15" spans="2:27" ht="28" customHeight="1" x14ac:dyDescent="0.55000000000000004">
      <c r="B15" s="111" t="s">
        <v>126</v>
      </c>
      <c r="C15" s="114" t="str">
        <f>IF(OR(会社名="",氏名=""),"",IFERROR(IF(INDEX(受診者マスタ[フリー1],MATCH(会社名&amp;"_"&amp;氏名,受診者マスタ[検索キー],0))="","",INDEX(受診者マスタ[フリー1],MATCH(会社名&amp;"_"&amp;氏名,受診者マスタ[検索キー],0))),""))</f>
        <v/>
      </c>
      <c r="D15" s="29" t="s">
        <v>20</v>
      </c>
    </row>
    <row r="16" spans="2:27" ht="28" customHeight="1" x14ac:dyDescent="0.55000000000000004">
      <c r="B16" s="111" t="s">
        <v>127</v>
      </c>
      <c r="C16" s="114" t="str">
        <f>IF(OR(会社名="",氏名=""),"",IFERROR(IF(INDEX(受診者マスタ[フリー2],MATCH(会社名&amp;"_"&amp;氏名,受診者マスタ[検索キー],0))="","",INDEX(受診者マスタ[フリー2],MATCH(会社名&amp;"_"&amp;氏名,受診者マスタ[検索キー],0))),""))</f>
        <v/>
      </c>
      <c r="D16" s="29" t="s">
        <v>20</v>
      </c>
    </row>
    <row r="17" spans="2:4" ht="28" customHeight="1" x14ac:dyDescent="0.55000000000000004">
      <c r="B17" s="111" t="s">
        <v>128</v>
      </c>
      <c r="C17" s="114" t="str">
        <f>IF(OR(会社名="",氏名=""),"",IFERROR(IF(INDEX(受診者マスタ[フリー3],MATCH(会社名&amp;"_"&amp;氏名,受診者マスタ[検索キー],0))="","",INDEX(受診者マスタ[フリー3],MATCH(会社名&amp;"_"&amp;氏名,受診者マスタ[検索キー],0))),""))</f>
        <v/>
      </c>
      <c r="D17" s="29" t="s">
        <v>20</v>
      </c>
    </row>
    <row r="18" spans="2:4" ht="16" customHeight="1" x14ac:dyDescent="0.55000000000000004"/>
    <row r="19" spans="2:4" ht="25" customHeight="1" thickBot="1" x14ac:dyDescent="0.6" hidden="1">
      <c r="B19" s="25" t="s">
        <v>22</v>
      </c>
      <c r="C19" s="25"/>
    </row>
    <row r="20" spans="2:4" ht="23.15" customHeight="1" thickBot="1" x14ac:dyDescent="0.6" hidden="1">
      <c r="B20" s="26" t="s">
        <v>23</v>
      </c>
      <c r="C20" s="36"/>
      <c r="D20" s="29" t="s">
        <v>52</v>
      </c>
    </row>
    <row r="21" spans="2:4" ht="16" customHeight="1" x14ac:dyDescent="0.55000000000000004" hidden="1"/>
    <row r="22" spans="2:4" ht="25" customHeight="1" x14ac:dyDescent="0.55000000000000004" hidden="1">
      <c r="B22" s="25" t="s">
        <v>21</v>
      </c>
      <c r="C22" s="25"/>
    </row>
    <row r="23" spans="2:4" ht="20.149999999999999" customHeight="1" x14ac:dyDescent="0.55000000000000004" hidden="1">
      <c r="B23" s="27" t="s">
        <v>40</v>
      </c>
      <c r="C23" s="37"/>
      <c r="D23" s="29" t="s">
        <v>19</v>
      </c>
    </row>
    <row r="24" spans="2:4" ht="20.149999999999999" customHeight="1" x14ac:dyDescent="0.55000000000000004" hidden="1">
      <c r="B24" s="27" t="s">
        <v>39</v>
      </c>
      <c r="C24" s="37"/>
      <c r="D24" s="29" t="s">
        <v>19</v>
      </c>
    </row>
    <row r="25" spans="2:4" ht="20.149999999999999" customHeight="1" x14ac:dyDescent="0.55000000000000004" hidden="1">
      <c r="B25" s="27" t="s">
        <v>41</v>
      </c>
      <c r="C25" s="37"/>
      <c r="D25" s="29" t="s">
        <v>19</v>
      </c>
    </row>
    <row r="26" spans="2:4" ht="20.149999999999999" customHeight="1" x14ac:dyDescent="0.55000000000000004" hidden="1">
      <c r="B26" s="27" t="s">
        <v>42</v>
      </c>
      <c r="C26" s="37"/>
      <c r="D26" s="29" t="s">
        <v>19</v>
      </c>
    </row>
    <row r="27" spans="2:4" ht="20.149999999999999" customHeight="1" x14ac:dyDescent="0.55000000000000004" hidden="1">
      <c r="B27" s="27" t="s">
        <v>43</v>
      </c>
      <c r="C27" s="37"/>
      <c r="D27" s="29" t="s">
        <v>19</v>
      </c>
    </row>
    <row r="28" spans="2:4" ht="20.149999999999999" customHeight="1" x14ac:dyDescent="0.55000000000000004" hidden="1">
      <c r="B28" s="27" t="s">
        <v>44</v>
      </c>
      <c r="C28" s="37"/>
      <c r="D28" s="29" t="s">
        <v>19</v>
      </c>
    </row>
    <row r="29" spans="2:4" ht="20.149999999999999" customHeight="1" x14ac:dyDescent="0.55000000000000004" hidden="1">
      <c r="B29" s="27" t="s">
        <v>45</v>
      </c>
      <c r="C29" s="37"/>
      <c r="D29" s="29" t="s">
        <v>19</v>
      </c>
    </row>
    <row r="30" spans="2:4" ht="20.149999999999999" customHeight="1" x14ac:dyDescent="0.55000000000000004" hidden="1">
      <c r="B30" s="27" t="s">
        <v>38</v>
      </c>
      <c r="C30" s="37"/>
      <c r="D30" s="29" t="s">
        <v>19</v>
      </c>
    </row>
    <row r="31" spans="2:4" ht="16" customHeight="1" x14ac:dyDescent="0.55000000000000004" hidden="1"/>
    <row r="32" spans="2:4" ht="25" customHeight="1" x14ac:dyDescent="0.55000000000000004" hidden="1">
      <c r="B32" s="25" t="s">
        <v>47</v>
      </c>
      <c r="C32" s="25"/>
    </row>
    <row r="33" spans="2:4" ht="95.5" customHeight="1" x14ac:dyDescent="0.55000000000000004" hidden="1">
      <c r="B33" s="89"/>
      <c r="C33" s="90"/>
      <c r="D33" s="29" t="s">
        <v>53</v>
      </c>
    </row>
  </sheetData>
  <mergeCells count="2">
    <mergeCell ref="B1:C1"/>
    <mergeCell ref="B33:C33"/>
  </mergeCells>
  <phoneticPr fontId="1"/>
  <dataValidations count="4">
    <dataValidation type="list" allowBlank="1" showInputMessage="1" showErrorMessage="1" sqref="C6" xr:uid="{F8067D56-B2E6-44C2-9D0C-C735C0B64231}">
      <formula1>会社名リスト</formula1>
    </dataValidation>
    <dataValidation type="list" allowBlank="1" showInputMessage="1" showErrorMessage="1" sqref="C20" xr:uid="{6D1678FB-67D8-4E59-BD50-585805AEA19D}">
      <formula1>"　,2本,1本,キャンセル"</formula1>
    </dataValidation>
    <dataValidation type="list" showInputMessage="1" showErrorMessage="1" sqref="C23:C30" xr:uid="{21ED3036-EB11-46FA-B96C-2381F336BFFD}">
      <formula1>"　,●"</formula1>
    </dataValidation>
    <dataValidation type="list" allowBlank="1" showInputMessage="1" showErrorMessage="1" sqref="C7" xr:uid="{D1BF06A6-5690-42DF-984F-36A8A44A52F6}">
      <formula1>INDIRECT("受診者マスタ[氏名]")</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RegisterReception">
                <anchor moveWithCells="1">
                  <from>
                    <xdr:col>4</xdr:col>
                    <xdr:colOff>0</xdr:colOff>
                    <xdr:row>4</xdr:row>
                    <xdr:rowOff>0</xdr:rowOff>
                  </from>
                  <to>
                    <xdr:col>5</xdr:col>
                    <xdr:colOff>647700</xdr:colOff>
                    <xdr:row>5</xdr:row>
                    <xdr:rowOff>50800</xdr:rowOff>
                  </to>
                </anchor>
              </controlPr>
            </control>
          </mc:Choice>
        </mc:AlternateContent>
        <mc:AlternateContent xmlns:mc="http://schemas.openxmlformats.org/markup-compatibility/2006">
          <mc:Choice Requires="x14">
            <control shapeId="9219" r:id="rId4" name="Button 3">
              <controlPr defaultSize="0" print="0" autoFill="0" autoPict="0" macro="[0]!wsInput.ClickClearButton">
                <anchor moveWithCells="1">
                  <from>
                    <xdr:col>6</xdr:col>
                    <xdr:colOff>0</xdr:colOff>
                    <xdr:row>4</xdr:row>
                    <xdr:rowOff>0</xdr:rowOff>
                  </from>
                  <to>
                    <xdr:col>7</xdr:col>
                    <xdr:colOff>260350</xdr:colOff>
                    <xdr:row>5</xdr:row>
                    <xdr:rowOff>50800</xdr:rowOff>
                  </to>
                </anchor>
              </controlPr>
            </control>
          </mc:Choice>
        </mc:AlternateContent>
        <mc:AlternateContent xmlns:mc="http://schemas.openxmlformats.org/markup-compatibility/2006">
          <mc:Choice Requires="x14">
            <control shapeId="9231" r:id="rId5" name="Button 15">
              <controlPr defaultSize="0" print="0" autoFill="0" autoPict="0" macro="[0]!wsInput.ClickSearchByFree3Button">
                <anchor moveWithCells="1">
                  <from>
                    <xdr:col>4</xdr:col>
                    <xdr:colOff>0</xdr:colOff>
                    <xdr:row>8</xdr:row>
                    <xdr:rowOff>0</xdr:rowOff>
                  </from>
                  <to>
                    <xdr:col>5</xdr:col>
                    <xdr:colOff>647700</xdr:colOff>
                    <xdr:row>9</xdr:row>
                    <xdr:rowOff>31750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A8662-A51C-4F4C-A6ED-B423785E848D}">
  <sheetPr codeName="ws受診者マスタ">
    <tabColor theme="0" tint="-0.499984740745262"/>
  </sheetPr>
  <dimension ref="A1:O142"/>
  <sheetViews>
    <sheetView showGridLines="0" workbookViewId="0">
      <selection activeCell="D4" sqref="D4"/>
    </sheetView>
  </sheetViews>
  <sheetFormatPr defaultColWidth="8.58203125" defaultRowHeight="18" customHeight="1" x14ac:dyDescent="0.55000000000000004"/>
  <cols>
    <col min="1" max="1" width="1.58203125" style="4" customWidth="1"/>
    <col min="2" max="2" width="10.75" style="4" bestFit="1" customWidth="1"/>
    <col min="3" max="3" width="19.33203125" style="4" customWidth="1"/>
    <col min="4" max="4" width="11.08203125" style="4" bestFit="1" customWidth="1"/>
    <col min="5" max="5" width="17.08203125" style="4" bestFit="1" customWidth="1"/>
    <col min="6" max="6" width="7.08203125" style="4" bestFit="1" customWidth="1"/>
    <col min="7" max="7" width="12.5" style="4" bestFit="1" customWidth="1"/>
    <col min="8" max="8" width="11" style="4" customWidth="1"/>
    <col min="9" max="9" width="11.75" customWidth="1"/>
    <col min="10" max="10" width="12.58203125" bestFit="1" customWidth="1"/>
    <col min="11" max="11" width="18.83203125" bestFit="1" customWidth="1"/>
    <col min="12" max="12" width="8.33203125" customWidth="1"/>
    <col min="13" max="13" width="13.58203125" customWidth="1"/>
    <col min="14" max="15" width="13.58203125" style="4" customWidth="1"/>
    <col min="16" max="16" width="18.33203125" style="4" bestFit="1" customWidth="1"/>
    <col min="17" max="17" width="24.08203125" style="4" bestFit="1" customWidth="1"/>
    <col min="18" max="16384" width="8.58203125" style="4"/>
  </cols>
  <sheetData>
    <row r="1" spans="1:15" ht="28.5" customHeight="1" x14ac:dyDescent="0.55000000000000004">
      <c r="A1" s="3" t="s">
        <v>11</v>
      </c>
      <c r="C1" s="8"/>
      <c r="I1" s="4"/>
      <c r="J1" s="4"/>
      <c r="K1" s="4"/>
      <c r="L1" s="4"/>
      <c r="M1" s="4"/>
    </row>
    <row r="2" spans="1:15" ht="18" customHeight="1" x14ac:dyDescent="0.45">
      <c r="B2" s="21" t="s">
        <v>131</v>
      </c>
      <c r="C2" s="21" t="s">
        <v>132</v>
      </c>
      <c r="D2" s="22" t="s">
        <v>50</v>
      </c>
      <c r="E2" s="22" t="s">
        <v>50</v>
      </c>
      <c r="F2" s="22" t="s">
        <v>50</v>
      </c>
      <c r="G2" s="22" t="s">
        <v>50</v>
      </c>
      <c r="H2" s="22" t="s">
        <v>50</v>
      </c>
      <c r="I2" s="22" t="s">
        <v>50</v>
      </c>
      <c r="J2" s="22" t="s">
        <v>50</v>
      </c>
      <c r="K2" s="21" t="s">
        <v>132</v>
      </c>
      <c r="L2" s="21" t="s">
        <v>132</v>
      </c>
      <c r="M2" s="22" t="s">
        <v>50</v>
      </c>
      <c r="N2" s="22" t="s">
        <v>50</v>
      </c>
      <c r="O2" s="22" t="s">
        <v>50</v>
      </c>
    </row>
    <row r="3" spans="1:15" ht="18" customHeight="1" x14ac:dyDescent="0.55000000000000004">
      <c r="B3" s="70" t="s">
        <v>130</v>
      </c>
      <c r="C3" s="70" t="s">
        <v>49</v>
      </c>
      <c r="D3" s="70" t="s">
        <v>8</v>
      </c>
      <c r="E3" s="70" t="s">
        <v>9</v>
      </c>
      <c r="F3" s="70" t="s">
        <v>6</v>
      </c>
      <c r="G3" s="70" t="s">
        <v>48</v>
      </c>
      <c r="H3" s="70" t="s">
        <v>122</v>
      </c>
      <c r="I3" s="70" t="s">
        <v>7</v>
      </c>
      <c r="J3" s="70" t="s">
        <v>10</v>
      </c>
      <c r="K3" s="70" t="s">
        <v>15</v>
      </c>
      <c r="L3" s="70" t="s">
        <v>36</v>
      </c>
      <c r="M3" s="70" t="s">
        <v>126</v>
      </c>
      <c r="N3" s="70" t="s">
        <v>127</v>
      </c>
      <c r="O3" s="70" t="s">
        <v>128</v>
      </c>
    </row>
    <row r="4" spans="1:15" ht="18" customHeight="1" x14ac:dyDescent="0.55000000000000004">
      <c r="B4" s="84"/>
      <c r="C4" s="5" t="str">
        <f>受診者マスタ[[#This Row],[会社名]]&amp;"_"&amp;受診者マスタ[[#This Row],[氏名]]</f>
        <v>_</v>
      </c>
      <c r="D4" s="87"/>
      <c r="E4" s="87"/>
      <c r="F4" s="4"/>
      <c r="G4" s="20"/>
      <c r="H4" s="20"/>
      <c r="I4" s="4"/>
      <c r="J4" s="4"/>
      <c r="K4" s="4" t="str">
        <f>IFERROR(INDEX(tbl_コース[正式コース名],MATCH(受診者マスタ[[#This Row],[検診コース]],tbl_コース[コース],0)),"")</f>
        <v/>
      </c>
      <c r="L4" s="4" t="str">
        <f>IF(受診者マスタ[[#This Row],[生年月日]]="","",DATEDIF(受診者マスタ[[#This Row],[生年月日]],IF(MONTH(TODAY())&gt;=4,DATE(YEAR(TODAY())+1,3,31),DATE(YEAR(TODAY()),3,31)),"Y"))</f>
        <v/>
      </c>
      <c r="M4" s="87"/>
      <c r="N4" s="87"/>
      <c r="O4" s="87"/>
    </row>
    <row r="5" spans="1:15" ht="18" customHeight="1" x14ac:dyDescent="0.55000000000000004">
      <c r="B5" s="84"/>
      <c r="C5" s="5" t="str">
        <f>受診者マスタ[[#This Row],[会社名]]&amp;"_"&amp;受診者マスタ[[#This Row],[氏名]]</f>
        <v>_</v>
      </c>
      <c r="D5" s="87"/>
      <c r="E5" s="87"/>
      <c r="G5" s="20"/>
      <c r="H5" s="20"/>
      <c r="I5" s="4"/>
      <c r="J5" s="4"/>
      <c r="K5" s="4" t="str">
        <f>IFERROR(INDEX(tbl_コース[正式コース名],MATCH(受診者マスタ[[#This Row],[検診コース]],tbl_コース[コース],0)),"")</f>
        <v/>
      </c>
      <c r="L5" s="4" t="str">
        <f>IF(受診者マスタ[[#This Row],[生年月日]]="","",DATEDIF(受診者マスタ[[#This Row],[生年月日]],IF(MONTH(TODAY())&gt;=4,DATE(YEAR(TODAY())+1,3,31),DATE(YEAR(TODAY()),3,31)),"Y"))</f>
        <v/>
      </c>
      <c r="M5" s="87"/>
      <c r="N5" s="87"/>
      <c r="O5" s="87"/>
    </row>
    <row r="6" spans="1:15" ht="18" customHeight="1" x14ac:dyDescent="0.55000000000000004">
      <c r="B6" s="84"/>
      <c r="C6" s="5" t="str">
        <f>受診者マスタ[[#This Row],[会社名]]&amp;"_"&amp;受診者マスタ[[#This Row],[氏名]]</f>
        <v>_</v>
      </c>
      <c r="D6" s="87"/>
      <c r="E6" s="87"/>
      <c r="G6" s="20"/>
      <c r="H6" s="20"/>
      <c r="I6" s="4"/>
      <c r="J6" s="4"/>
      <c r="K6" s="4" t="str">
        <f>IFERROR(INDEX(tbl_コース[正式コース名],MATCH(受診者マスタ[[#This Row],[検診コース]],tbl_コース[コース],0)),"")</f>
        <v/>
      </c>
      <c r="L6" s="4" t="str">
        <f>IF(受診者マスタ[[#This Row],[生年月日]]="","",DATEDIF(受診者マスタ[[#This Row],[生年月日]],IF(MONTH(TODAY())&gt;=4,DATE(YEAR(TODAY())+1,3,31),DATE(YEAR(TODAY()),3,31)),"Y"))</f>
        <v/>
      </c>
      <c r="M6" s="87"/>
      <c r="N6" s="87"/>
      <c r="O6" s="87"/>
    </row>
    <row r="7" spans="1:15" ht="18" customHeight="1" x14ac:dyDescent="0.55000000000000004">
      <c r="B7" s="84"/>
      <c r="C7" s="5" t="str">
        <f>受診者マスタ[[#This Row],[会社名]]&amp;"_"&amp;受診者マスタ[[#This Row],[氏名]]</f>
        <v>_</v>
      </c>
      <c r="D7" s="87"/>
      <c r="E7" s="87"/>
      <c r="G7" s="20"/>
      <c r="H7" s="20"/>
      <c r="I7" s="4"/>
      <c r="J7" s="4"/>
      <c r="K7" s="4" t="str">
        <f>IFERROR(INDEX(tbl_コース[正式コース名],MATCH(受診者マスタ[[#This Row],[検診コース]],tbl_コース[コース],0)),"")</f>
        <v/>
      </c>
      <c r="L7" s="4" t="str">
        <f>IF(受診者マスタ[[#This Row],[生年月日]]="","",DATEDIF(受診者マスタ[[#This Row],[生年月日]],IF(MONTH(TODAY())&gt;=4,DATE(YEAR(TODAY())+1,3,31),DATE(YEAR(TODAY()),3,31)),"Y"))</f>
        <v/>
      </c>
      <c r="M7" s="87"/>
      <c r="N7" s="87"/>
      <c r="O7" s="87"/>
    </row>
    <row r="8" spans="1:15" ht="18" customHeight="1" x14ac:dyDescent="0.55000000000000004">
      <c r="B8" s="84"/>
      <c r="C8" s="5" t="str">
        <f>受診者マスタ[[#This Row],[会社名]]&amp;"_"&amp;受診者マスタ[[#This Row],[氏名]]</f>
        <v>_</v>
      </c>
      <c r="D8" s="87"/>
      <c r="E8" s="87"/>
      <c r="G8" s="20"/>
      <c r="H8" s="20"/>
      <c r="I8" s="4"/>
      <c r="J8" s="4"/>
      <c r="K8" s="4" t="str">
        <f>IFERROR(INDEX(tbl_コース[正式コース名],MATCH(受診者マスタ[[#This Row],[検診コース]],tbl_コース[コース],0)),"")</f>
        <v/>
      </c>
      <c r="L8" s="4" t="str">
        <f>IF(受診者マスタ[[#This Row],[生年月日]]="","",DATEDIF(受診者マスタ[[#This Row],[生年月日]],IF(MONTH(TODAY())&gt;=4,DATE(YEAR(TODAY())+1,3,31),DATE(YEAR(TODAY()),3,31)),"Y"))</f>
        <v/>
      </c>
      <c r="M8" s="87"/>
      <c r="N8" s="87"/>
      <c r="O8" s="87"/>
    </row>
    <row r="9" spans="1:15" ht="18" customHeight="1" x14ac:dyDescent="0.55000000000000004">
      <c r="B9" s="84"/>
      <c r="C9" s="5" t="str">
        <f>受診者マスタ[[#This Row],[会社名]]&amp;"_"&amp;受診者マスタ[[#This Row],[氏名]]</f>
        <v>_</v>
      </c>
      <c r="D9" s="87"/>
      <c r="E9" s="87"/>
      <c r="G9" s="20"/>
      <c r="H9" s="20"/>
      <c r="I9" s="4"/>
      <c r="J9" s="4"/>
      <c r="K9" s="4" t="str">
        <f>IFERROR(INDEX(tbl_コース[正式コース名],MATCH(受診者マスタ[[#This Row],[検診コース]],tbl_コース[コース],0)),"")</f>
        <v/>
      </c>
      <c r="L9" s="4" t="str">
        <f>IF(受診者マスタ[[#This Row],[生年月日]]="","",DATEDIF(受診者マスタ[[#This Row],[生年月日]],IF(MONTH(TODAY())&gt;=4,DATE(YEAR(TODAY())+1,3,31),DATE(YEAR(TODAY()),3,31)),"Y"))</f>
        <v/>
      </c>
      <c r="M9" s="87"/>
      <c r="N9" s="87"/>
      <c r="O9" s="87"/>
    </row>
    <row r="10" spans="1:15" ht="18" customHeight="1" x14ac:dyDescent="0.55000000000000004">
      <c r="B10" s="84"/>
      <c r="C10" s="5" t="str">
        <f>受診者マスタ[[#This Row],[会社名]]&amp;"_"&amp;受診者マスタ[[#This Row],[氏名]]</f>
        <v>_</v>
      </c>
      <c r="D10" s="87"/>
      <c r="E10" s="87"/>
      <c r="G10" s="20"/>
      <c r="H10" s="20"/>
      <c r="I10" s="4"/>
      <c r="J10" s="4"/>
      <c r="K10" s="4" t="str">
        <f>IFERROR(INDEX(tbl_コース[正式コース名],MATCH(受診者マスタ[[#This Row],[検診コース]],tbl_コース[コース],0)),"")</f>
        <v/>
      </c>
      <c r="L10" s="4" t="str">
        <f>IF(受診者マスタ[[#This Row],[生年月日]]="","",DATEDIF(受診者マスタ[[#This Row],[生年月日]],IF(MONTH(TODAY())&gt;=4,DATE(YEAR(TODAY())+1,3,31),DATE(YEAR(TODAY()),3,31)),"Y"))</f>
        <v/>
      </c>
      <c r="M10" s="87"/>
      <c r="N10" s="87"/>
      <c r="O10" s="87"/>
    </row>
    <row r="11" spans="1:15" ht="18" customHeight="1" x14ac:dyDescent="0.55000000000000004">
      <c r="B11" s="84"/>
      <c r="C11" s="5" t="str">
        <f>受診者マスタ[[#This Row],[会社名]]&amp;"_"&amp;受診者マスタ[[#This Row],[氏名]]</f>
        <v>_</v>
      </c>
      <c r="D11" s="87"/>
      <c r="E11" s="87"/>
      <c r="G11" s="20"/>
      <c r="H11" s="20"/>
      <c r="I11" s="4"/>
      <c r="J11" s="4"/>
      <c r="K11" s="4" t="str">
        <f>IFERROR(INDEX(tbl_コース[正式コース名],MATCH(受診者マスタ[[#This Row],[検診コース]],tbl_コース[コース],0)),"")</f>
        <v/>
      </c>
      <c r="L11" s="4" t="str">
        <f>IF(受診者マスタ[[#This Row],[生年月日]]="","",DATEDIF(受診者マスタ[[#This Row],[生年月日]],IF(MONTH(TODAY())&gt;=4,DATE(YEAR(TODAY())+1,3,31),DATE(YEAR(TODAY()),3,31)),"Y"))</f>
        <v/>
      </c>
      <c r="M11" s="87"/>
      <c r="N11" s="87"/>
      <c r="O11" s="87"/>
    </row>
    <row r="12" spans="1:15" ht="18" customHeight="1" x14ac:dyDescent="0.55000000000000004">
      <c r="B12" s="84"/>
      <c r="C12" s="5" t="str">
        <f>受診者マスタ[[#This Row],[会社名]]&amp;"_"&amp;受診者マスタ[[#This Row],[氏名]]</f>
        <v>_</v>
      </c>
      <c r="D12" s="87"/>
      <c r="E12" s="87"/>
      <c r="G12" s="20"/>
      <c r="H12" s="20"/>
      <c r="I12" s="4"/>
      <c r="J12" s="4"/>
      <c r="K12" s="4" t="str">
        <f>IFERROR(INDEX(tbl_コース[正式コース名],MATCH(受診者マスタ[[#This Row],[検診コース]],tbl_コース[コース],0)),"")</f>
        <v/>
      </c>
      <c r="L12" s="4" t="str">
        <f>IF(受診者マスタ[[#This Row],[生年月日]]="","",DATEDIF(受診者マスタ[[#This Row],[生年月日]],IF(MONTH(TODAY())&gt;=4,DATE(YEAR(TODAY())+1,3,31),DATE(YEAR(TODAY()),3,31)),"Y"))</f>
        <v/>
      </c>
      <c r="M12" s="87"/>
      <c r="N12" s="87"/>
      <c r="O12" s="87"/>
    </row>
    <row r="13" spans="1:15" ht="18" customHeight="1" x14ac:dyDescent="0.55000000000000004">
      <c r="B13" s="84"/>
      <c r="C13" s="5" t="str">
        <f>受診者マスタ[[#This Row],[会社名]]&amp;"_"&amp;受診者マスタ[[#This Row],[氏名]]</f>
        <v>_</v>
      </c>
      <c r="D13" s="87"/>
      <c r="E13" s="87"/>
      <c r="G13" s="20"/>
      <c r="H13" s="20"/>
      <c r="I13" s="4"/>
      <c r="J13" s="4"/>
      <c r="K13" s="4" t="str">
        <f>IFERROR(INDEX(tbl_コース[正式コース名],MATCH(受診者マスタ[[#This Row],[検診コース]],tbl_コース[コース],0)),"")</f>
        <v/>
      </c>
      <c r="L13" s="4" t="str">
        <f>IF(受診者マスタ[[#This Row],[生年月日]]="","",DATEDIF(受診者マスタ[[#This Row],[生年月日]],IF(MONTH(TODAY())&gt;=4,DATE(YEAR(TODAY())+1,3,31),DATE(YEAR(TODAY()),3,31)),"Y"))</f>
        <v/>
      </c>
      <c r="M13" s="87"/>
      <c r="N13" s="87"/>
      <c r="O13" s="87"/>
    </row>
    <row r="14" spans="1:15" ht="18" customHeight="1" x14ac:dyDescent="0.55000000000000004">
      <c r="B14" s="84"/>
      <c r="C14" s="5" t="str">
        <f>受診者マスタ[[#This Row],[会社名]]&amp;"_"&amp;受診者マスタ[[#This Row],[氏名]]</f>
        <v>_</v>
      </c>
      <c r="D14" s="87"/>
      <c r="E14" s="87"/>
      <c r="G14" s="20"/>
      <c r="H14" s="20"/>
      <c r="I14" s="4"/>
      <c r="J14" s="4"/>
      <c r="K14" s="4" t="str">
        <f>IFERROR(INDEX(tbl_コース[正式コース名],MATCH(受診者マスタ[[#This Row],[検診コース]],tbl_コース[コース],0)),"")</f>
        <v/>
      </c>
      <c r="L14" s="4" t="str">
        <f>IF(受診者マスタ[[#This Row],[生年月日]]="","",DATEDIF(受診者マスタ[[#This Row],[生年月日]],IF(MONTH(TODAY())&gt;=4,DATE(YEAR(TODAY())+1,3,31),DATE(YEAR(TODAY()),3,31)),"Y"))</f>
        <v/>
      </c>
      <c r="M14" s="87"/>
      <c r="N14" s="87"/>
      <c r="O14" s="87"/>
    </row>
    <row r="15" spans="1:15" ht="18" customHeight="1" x14ac:dyDescent="0.55000000000000004">
      <c r="B15" s="84"/>
      <c r="C15" s="5" t="str">
        <f>受診者マスタ[[#This Row],[会社名]]&amp;"_"&amp;受診者マスタ[[#This Row],[氏名]]</f>
        <v>_</v>
      </c>
      <c r="D15" s="87"/>
      <c r="E15" s="87"/>
      <c r="G15" s="20"/>
      <c r="H15" s="20"/>
      <c r="I15" s="4"/>
      <c r="J15" s="4"/>
      <c r="K15" s="4" t="str">
        <f>IFERROR(INDEX(tbl_コース[正式コース名],MATCH(受診者マスタ[[#This Row],[検診コース]],tbl_コース[コース],0)),"")</f>
        <v/>
      </c>
      <c r="L15" s="4" t="str">
        <f>IF(受診者マスタ[[#This Row],[生年月日]]="","",DATEDIF(受診者マスタ[[#This Row],[生年月日]],IF(MONTH(TODAY())&gt;=4,DATE(YEAR(TODAY())+1,3,31),DATE(YEAR(TODAY()),3,31)),"Y"))</f>
        <v/>
      </c>
      <c r="M15" s="87"/>
      <c r="N15" s="87"/>
      <c r="O15" s="87"/>
    </row>
    <row r="16" spans="1:15" ht="18" customHeight="1" x14ac:dyDescent="0.55000000000000004">
      <c r="B16" s="84"/>
      <c r="C16" s="5" t="str">
        <f>受診者マスタ[[#This Row],[会社名]]&amp;"_"&amp;受診者マスタ[[#This Row],[氏名]]</f>
        <v>_</v>
      </c>
      <c r="D16" s="87"/>
      <c r="E16" s="87"/>
      <c r="G16" s="20"/>
      <c r="H16" s="20"/>
      <c r="I16" s="4"/>
      <c r="J16" s="4"/>
      <c r="K16" s="4" t="str">
        <f>IFERROR(INDEX(tbl_コース[正式コース名],MATCH(受診者マスタ[[#This Row],[検診コース]],tbl_コース[コース],0)),"")</f>
        <v/>
      </c>
      <c r="L16" s="4" t="str">
        <f>IF(受診者マスタ[[#This Row],[生年月日]]="","",DATEDIF(受診者マスタ[[#This Row],[生年月日]],IF(MONTH(TODAY())&gt;=4,DATE(YEAR(TODAY())+1,3,31),DATE(YEAR(TODAY()),3,31)),"Y"))</f>
        <v/>
      </c>
      <c r="M16" s="87"/>
      <c r="N16" s="87"/>
      <c r="O16" s="87"/>
    </row>
    <row r="17" spans="2:15" ht="18" customHeight="1" x14ac:dyDescent="0.55000000000000004">
      <c r="B17" s="84"/>
      <c r="C17" s="5" t="str">
        <f>受診者マスタ[[#This Row],[会社名]]&amp;"_"&amp;受診者マスタ[[#This Row],[氏名]]</f>
        <v>_</v>
      </c>
      <c r="D17" s="87"/>
      <c r="E17" s="87"/>
      <c r="G17" s="20"/>
      <c r="H17" s="20"/>
      <c r="I17" s="4"/>
      <c r="J17" s="4"/>
      <c r="K17" s="4" t="str">
        <f>IFERROR(INDEX(tbl_コース[正式コース名],MATCH(受診者マスタ[[#This Row],[検診コース]],tbl_コース[コース],0)),"")</f>
        <v/>
      </c>
      <c r="L17" s="4" t="str">
        <f>IF(受診者マスタ[[#This Row],[生年月日]]="","",DATEDIF(受診者マスタ[[#This Row],[生年月日]],IF(MONTH(TODAY())&gt;=4,DATE(YEAR(TODAY())+1,3,31),DATE(YEAR(TODAY()),3,31)),"Y"))</f>
        <v/>
      </c>
      <c r="M17" s="87"/>
      <c r="N17" s="87"/>
      <c r="O17" s="87"/>
    </row>
    <row r="18" spans="2:15" ht="18" customHeight="1" x14ac:dyDescent="0.55000000000000004">
      <c r="B18" s="84"/>
      <c r="C18" s="5" t="str">
        <f>受診者マスタ[[#This Row],[会社名]]&amp;"_"&amp;受診者マスタ[[#This Row],[氏名]]</f>
        <v>_</v>
      </c>
      <c r="D18" s="87"/>
      <c r="E18" s="87"/>
      <c r="G18" s="20"/>
      <c r="H18" s="20"/>
      <c r="I18" s="4"/>
      <c r="J18" s="4"/>
      <c r="K18" s="4" t="str">
        <f>IFERROR(INDEX(tbl_コース[正式コース名],MATCH(受診者マスタ[[#This Row],[検診コース]],tbl_コース[コース],0)),"")</f>
        <v/>
      </c>
      <c r="L18" s="4" t="str">
        <f>IF(受診者マスタ[[#This Row],[生年月日]]="","",DATEDIF(受診者マスタ[[#This Row],[生年月日]],IF(MONTH(TODAY())&gt;=4,DATE(YEAR(TODAY())+1,3,31),DATE(YEAR(TODAY()),3,31)),"Y"))</f>
        <v/>
      </c>
      <c r="M18" s="87"/>
      <c r="N18" s="87"/>
      <c r="O18" s="87"/>
    </row>
    <row r="19" spans="2:15" ht="18" customHeight="1" x14ac:dyDescent="0.55000000000000004">
      <c r="B19" s="84"/>
      <c r="C19" s="5" t="str">
        <f>受診者マスタ[[#This Row],[会社名]]&amp;"_"&amp;受診者マスタ[[#This Row],[氏名]]</f>
        <v>_</v>
      </c>
      <c r="D19" s="87"/>
      <c r="E19" s="87"/>
      <c r="G19" s="20"/>
      <c r="H19" s="20"/>
      <c r="I19" s="4"/>
      <c r="J19" s="4"/>
      <c r="K19" s="4" t="str">
        <f>IFERROR(INDEX(tbl_コース[正式コース名],MATCH(受診者マスタ[[#This Row],[検診コース]],tbl_コース[コース],0)),"")</f>
        <v/>
      </c>
      <c r="L19" s="4" t="str">
        <f>IF(受診者マスタ[[#This Row],[生年月日]]="","",DATEDIF(受診者マスタ[[#This Row],[生年月日]],IF(MONTH(TODAY())&gt;=4,DATE(YEAR(TODAY())+1,3,31),DATE(YEAR(TODAY()),3,31)),"Y"))</f>
        <v/>
      </c>
      <c r="M19" s="87"/>
      <c r="N19" s="87"/>
      <c r="O19" s="87"/>
    </row>
    <row r="20" spans="2:15" ht="18" customHeight="1" x14ac:dyDescent="0.55000000000000004">
      <c r="B20" s="84"/>
      <c r="C20" s="5" t="str">
        <f>受診者マスタ[[#This Row],[会社名]]&amp;"_"&amp;受診者マスタ[[#This Row],[氏名]]</f>
        <v>_</v>
      </c>
      <c r="D20" s="87"/>
      <c r="E20" s="87"/>
      <c r="G20" s="20"/>
      <c r="H20" s="20"/>
      <c r="I20" s="4"/>
      <c r="J20" s="4"/>
      <c r="K20" s="4" t="str">
        <f>IFERROR(INDEX(tbl_コース[正式コース名],MATCH(受診者マスタ[[#This Row],[検診コース]],tbl_コース[コース],0)),"")</f>
        <v/>
      </c>
      <c r="L20" s="4" t="str">
        <f>IF(受診者マスタ[[#This Row],[生年月日]]="","",DATEDIF(受診者マスタ[[#This Row],[生年月日]],IF(MONTH(TODAY())&gt;=4,DATE(YEAR(TODAY())+1,3,31),DATE(YEAR(TODAY()),3,31)),"Y"))</f>
        <v/>
      </c>
      <c r="M20" s="87"/>
      <c r="N20" s="87"/>
      <c r="O20" s="87"/>
    </row>
    <row r="21" spans="2:15" ht="18" customHeight="1" x14ac:dyDescent="0.55000000000000004">
      <c r="B21" s="84"/>
      <c r="C21" s="5" t="str">
        <f>受診者マスタ[[#This Row],[会社名]]&amp;"_"&amp;受診者マスタ[[#This Row],[氏名]]</f>
        <v>_</v>
      </c>
      <c r="D21" s="87"/>
      <c r="E21" s="87"/>
      <c r="G21" s="20"/>
      <c r="H21" s="20"/>
      <c r="I21" s="4"/>
      <c r="J21" s="4"/>
      <c r="K21" s="4" t="str">
        <f>IFERROR(INDEX(tbl_コース[正式コース名],MATCH(受診者マスタ[[#This Row],[検診コース]],tbl_コース[コース],0)),"")</f>
        <v/>
      </c>
      <c r="L21" s="4" t="str">
        <f>IF(受診者マスタ[[#This Row],[生年月日]]="","",DATEDIF(受診者マスタ[[#This Row],[生年月日]],IF(MONTH(TODAY())&gt;=4,DATE(YEAR(TODAY())+1,3,31),DATE(YEAR(TODAY()),3,31)),"Y"))</f>
        <v/>
      </c>
      <c r="M21" s="87"/>
      <c r="N21" s="87"/>
      <c r="O21" s="87"/>
    </row>
    <row r="22" spans="2:15" ht="18" customHeight="1" x14ac:dyDescent="0.55000000000000004">
      <c r="B22" s="84"/>
      <c r="C22" s="5" t="str">
        <f>受診者マスタ[[#This Row],[会社名]]&amp;"_"&amp;受診者マスタ[[#This Row],[氏名]]</f>
        <v>_</v>
      </c>
      <c r="D22" s="87"/>
      <c r="E22" s="87"/>
      <c r="G22" s="20"/>
      <c r="H22" s="20"/>
      <c r="I22" s="4"/>
      <c r="J22" s="4"/>
      <c r="K22" s="4" t="str">
        <f>IFERROR(INDEX(tbl_コース[正式コース名],MATCH(受診者マスタ[[#This Row],[検診コース]],tbl_コース[コース],0)),"")</f>
        <v/>
      </c>
      <c r="L22" s="4" t="str">
        <f>IF(受診者マスタ[[#This Row],[生年月日]]="","",DATEDIF(受診者マスタ[[#This Row],[生年月日]],IF(MONTH(TODAY())&gt;=4,DATE(YEAR(TODAY())+1,3,31),DATE(YEAR(TODAY()),3,31)),"Y"))</f>
        <v/>
      </c>
      <c r="M22" s="87"/>
      <c r="N22" s="87"/>
      <c r="O22" s="87"/>
    </row>
    <row r="23" spans="2:15" ht="18" customHeight="1" x14ac:dyDescent="0.55000000000000004">
      <c r="B23" s="84"/>
      <c r="C23" s="5" t="str">
        <f>受診者マスタ[[#This Row],[会社名]]&amp;"_"&amp;受診者マスタ[[#This Row],[氏名]]</f>
        <v>_</v>
      </c>
      <c r="D23" s="85"/>
      <c r="E23" s="85"/>
      <c r="G23" s="20"/>
      <c r="H23" s="20"/>
      <c r="I23" s="4"/>
      <c r="J23" s="4"/>
      <c r="K23" s="4" t="str">
        <f>IFERROR(INDEX(tbl_コース[正式コース名],MATCH(受診者マスタ[[#This Row],[検診コース]],tbl_コース[コース],0)),"")</f>
        <v/>
      </c>
      <c r="L23" s="4" t="str">
        <f>IF(受診者マスタ[[#This Row],[生年月日]]="","",DATEDIF(受診者マスタ[[#This Row],[生年月日]],IF(MONTH(TODAY())&gt;=4,DATE(YEAR(TODAY())+1,3,31),DATE(YEAR(TODAY()),3,31)),"Y"))</f>
        <v/>
      </c>
      <c r="M23" s="85"/>
      <c r="N23" s="85"/>
      <c r="O23" s="85"/>
    </row>
    <row r="24" spans="2:15" ht="18" customHeight="1" x14ac:dyDescent="0.55000000000000004">
      <c r="B24" s="84"/>
      <c r="C24" s="5" t="str">
        <f>受診者マスタ[[#This Row],[会社名]]&amp;"_"&amp;受診者マスタ[[#This Row],[氏名]]</f>
        <v>_</v>
      </c>
      <c r="D24" s="85"/>
      <c r="E24" s="85"/>
      <c r="G24" s="20"/>
      <c r="H24" s="20"/>
      <c r="I24" s="4"/>
      <c r="J24" s="4"/>
      <c r="K24" s="4" t="str">
        <f>IFERROR(INDEX(tbl_コース[正式コース名],MATCH(受診者マスタ[[#This Row],[検診コース]],tbl_コース[コース],0)),"")</f>
        <v/>
      </c>
      <c r="L24" s="4" t="str">
        <f>IF(受診者マスタ[[#This Row],[生年月日]]="","",DATEDIF(受診者マスタ[[#This Row],[生年月日]],IF(MONTH(TODAY())&gt;=4,DATE(YEAR(TODAY())+1,3,31),DATE(YEAR(TODAY()),3,31)),"Y"))</f>
        <v/>
      </c>
      <c r="M24" s="85"/>
      <c r="N24" s="85"/>
      <c r="O24" s="85"/>
    </row>
    <row r="25" spans="2:15" ht="18" customHeight="1" x14ac:dyDescent="0.55000000000000004">
      <c r="B25" s="84"/>
      <c r="C25" s="5" t="str">
        <f>受診者マスタ[[#This Row],[会社名]]&amp;"_"&amp;受診者マスタ[[#This Row],[氏名]]</f>
        <v>_</v>
      </c>
      <c r="D25" s="85"/>
      <c r="E25" s="85"/>
      <c r="G25" s="20"/>
      <c r="H25" s="20"/>
      <c r="I25" s="4"/>
      <c r="J25" s="4"/>
      <c r="K25" s="4" t="str">
        <f>IFERROR(INDEX(tbl_コース[正式コース名],MATCH(受診者マスタ[[#This Row],[検診コース]],tbl_コース[コース],0)),"")</f>
        <v/>
      </c>
      <c r="L25" s="4" t="str">
        <f>IF(受診者マスタ[[#This Row],[生年月日]]="","",DATEDIF(受診者マスタ[[#This Row],[生年月日]],IF(MONTH(TODAY())&gt;=4,DATE(YEAR(TODAY())+1,3,31),DATE(YEAR(TODAY()),3,31)),"Y"))</f>
        <v/>
      </c>
      <c r="M25" s="85"/>
      <c r="N25" s="85"/>
      <c r="O25" s="85"/>
    </row>
    <row r="26" spans="2:15" ht="18" customHeight="1" x14ac:dyDescent="0.55000000000000004">
      <c r="B26" s="84"/>
      <c r="C26" s="5" t="str">
        <f>受診者マスタ[[#This Row],[会社名]]&amp;"_"&amp;受診者マスタ[[#This Row],[氏名]]</f>
        <v>_</v>
      </c>
      <c r="D26" s="85"/>
      <c r="E26" s="85"/>
      <c r="G26" s="20"/>
      <c r="H26" s="20"/>
      <c r="I26" s="4"/>
      <c r="J26" s="4"/>
      <c r="K26" s="4" t="str">
        <f>IFERROR(INDEX(tbl_コース[正式コース名],MATCH(受診者マスタ[[#This Row],[検診コース]],tbl_コース[コース],0)),"")</f>
        <v/>
      </c>
      <c r="L26" s="4" t="str">
        <f>IF(受診者マスタ[[#This Row],[生年月日]]="","",DATEDIF(受診者マスタ[[#This Row],[生年月日]],IF(MONTH(TODAY())&gt;=4,DATE(YEAR(TODAY())+1,3,31),DATE(YEAR(TODAY()),3,31)),"Y"))</f>
        <v/>
      </c>
      <c r="M26" s="85"/>
      <c r="N26" s="85"/>
      <c r="O26" s="85"/>
    </row>
    <row r="27" spans="2:15" ht="18" customHeight="1" x14ac:dyDescent="0.55000000000000004">
      <c r="B27" s="84"/>
      <c r="C27" s="5" t="str">
        <f>受診者マスタ[[#This Row],[会社名]]&amp;"_"&amp;受診者マスタ[[#This Row],[氏名]]</f>
        <v>_</v>
      </c>
      <c r="D27" s="85"/>
      <c r="E27" s="85"/>
      <c r="G27" s="20"/>
      <c r="H27" s="20"/>
      <c r="I27" s="4"/>
      <c r="J27" s="4"/>
      <c r="K27" s="4" t="str">
        <f>IFERROR(INDEX(tbl_コース[正式コース名],MATCH(受診者マスタ[[#This Row],[検診コース]],tbl_コース[コース],0)),"")</f>
        <v/>
      </c>
      <c r="L27" s="4" t="str">
        <f>IF(受診者マスタ[[#This Row],[生年月日]]="","",DATEDIF(受診者マスタ[[#This Row],[生年月日]],IF(MONTH(TODAY())&gt;=4,DATE(YEAR(TODAY())+1,3,31),DATE(YEAR(TODAY()),3,31)),"Y"))</f>
        <v/>
      </c>
      <c r="M27" s="85"/>
      <c r="N27" s="85"/>
      <c r="O27" s="85"/>
    </row>
    <row r="28" spans="2:15" ht="18" customHeight="1" x14ac:dyDescent="0.55000000000000004">
      <c r="B28" s="84"/>
      <c r="C28" s="5" t="str">
        <f>受診者マスタ[[#This Row],[会社名]]&amp;"_"&amp;受診者マスタ[[#This Row],[氏名]]</f>
        <v>_</v>
      </c>
      <c r="D28" s="85"/>
      <c r="E28" s="85"/>
      <c r="G28" s="20"/>
      <c r="H28" s="20"/>
      <c r="I28" s="4"/>
      <c r="J28" s="4"/>
      <c r="K28" s="4" t="str">
        <f>IFERROR(INDEX(tbl_コース[正式コース名],MATCH(受診者マスタ[[#This Row],[検診コース]],tbl_コース[コース],0)),"")</f>
        <v/>
      </c>
      <c r="L28" s="4" t="str">
        <f>IF(受診者マスタ[[#This Row],[生年月日]]="","",DATEDIF(受診者マスタ[[#This Row],[生年月日]],IF(MONTH(TODAY())&gt;=4,DATE(YEAR(TODAY())+1,3,31),DATE(YEAR(TODAY()),3,31)),"Y"))</f>
        <v/>
      </c>
      <c r="M28" s="85"/>
      <c r="N28" s="85"/>
      <c r="O28" s="85"/>
    </row>
    <row r="29" spans="2:15" ht="18" customHeight="1" x14ac:dyDescent="0.55000000000000004">
      <c r="B29" s="84"/>
      <c r="C29" s="5" t="str">
        <f>受診者マスタ[[#This Row],[会社名]]&amp;"_"&amp;受診者マスタ[[#This Row],[氏名]]</f>
        <v>_</v>
      </c>
      <c r="D29" s="85"/>
      <c r="E29" s="85"/>
      <c r="G29" s="20"/>
      <c r="H29" s="20"/>
      <c r="I29" s="4"/>
      <c r="J29" s="4"/>
      <c r="K29" s="4" t="str">
        <f>IFERROR(INDEX(tbl_コース[正式コース名],MATCH(受診者マスタ[[#This Row],[検診コース]],tbl_コース[コース],0)),"")</f>
        <v/>
      </c>
      <c r="L29" s="4" t="str">
        <f>IF(受診者マスタ[[#This Row],[生年月日]]="","",DATEDIF(受診者マスタ[[#This Row],[生年月日]],IF(MONTH(TODAY())&gt;=4,DATE(YEAR(TODAY())+1,3,31),DATE(YEAR(TODAY()),3,31)),"Y"))</f>
        <v/>
      </c>
      <c r="M29" s="85"/>
      <c r="N29" s="85"/>
      <c r="O29" s="85"/>
    </row>
    <row r="30" spans="2:15" ht="18" customHeight="1" x14ac:dyDescent="0.55000000000000004">
      <c r="B30" s="84"/>
      <c r="C30" s="5" t="str">
        <f>受診者マスタ[[#This Row],[会社名]]&amp;"_"&amp;受診者マスタ[[#This Row],[氏名]]</f>
        <v>_</v>
      </c>
      <c r="D30" s="85"/>
      <c r="E30" s="85"/>
      <c r="G30" s="20"/>
      <c r="H30" s="20"/>
      <c r="I30" s="4"/>
      <c r="J30" s="4"/>
      <c r="K30" s="4" t="str">
        <f>IFERROR(INDEX(tbl_コース[正式コース名],MATCH(受診者マスタ[[#This Row],[検診コース]],tbl_コース[コース],0)),"")</f>
        <v/>
      </c>
      <c r="L30" s="4" t="str">
        <f>IF(受診者マスタ[[#This Row],[生年月日]]="","",DATEDIF(受診者マスタ[[#This Row],[生年月日]],IF(MONTH(TODAY())&gt;=4,DATE(YEAR(TODAY())+1,3,31),DATE(YEAR(TODAY()),3,31)),"Y"))</f>
        <v/>
      </c>
      <c r="M30" s="85"/>
      <c r="N30" s="85"/>
      <c r="O30" s="85"/>
    </row>
    <row r="31" spans="2:15" ht="18" customHeight="1" x14ac:dyDescent="0.55000000000000004">
      <c r="B31" s="84"/>
      <c r="C31" s="5" t="str">
        <f>受診者マスタ[[#This Row],[会社名]]&amp;"_"&amp;受診者マスタ[[#This Row],[氏名]]</f>
        <v>_</v>
      </c>
      <c r="D31" s="85"/>
      <c r="E31" s="85"/>
      <c r="G31" s="20"/>
      <c r="H31" s="20"/>
      <c r="I31" s="4"/>
      <c r="J31" s="4"/>
      <c r="K31" s="4" t="str">
        <f>IFERROR(INDEX(tbl_コース[正式コース名],MATCH(受診者マスタ[[#This Row],[検診コース]],tbl_コース[コース],0)),"")</f>
        <v/>
      </c>
      <c r="L31" s="4" t="str">
        <f>IF(受診者マスタ[[#This Row],[生年月日]]="","",DATEDIF(受診者マスタ[[#This Row],[生年月日]],IF(MONTH(TODAY())&gt;=4,DATE(YEAR(TODAY())+1,3,31),DATE(YEAR(TODAY()),3,31)),"Y"))</f>
        <v/>
      </c>
      <c r="M31" s="85"/>
      <c r="N31" s="85"/>
      <c r="O31" s="85"/>
    </row>
    <row r="32" spans="2:15" ht="18" customHeight="1" x14ac:dyDescent="0.55000000000000004">
      <c r="B32" s="84"/>
      <c r="C32" s="5" t="str">
        <f>受診者マスタ[[#This Row],[会社名]]&amp;"_"&amp;受診者マスタ[[#This Row],[氏名]]</f>
        <v>_</v>
      </c>
      <c r="D32" s="85"/>
      <c r="E32" s="85"/>
      <c r="G32" s="20"/>
      <c r="H32" s="20"/>
      <c r="I32" s="4"/>
      <c r="J32" s="4"/>
      <c r="K32" s="4" t="str">
        <f>IFERROR(INDEX(tbl_コース[正式コース名],MATCH(受診者マスタ[[#This Row],[検診コース]],tbl_コース[コース],0)),"")</f>
        <v/>
      </c>
      <c r="L32" s="4" t="str">
        <f>IF(受診者マスタ[[#This Row],[生年月日]]="","",DATEDIF(受診者マスタ[[#This Row],[生年月日]],IF(MONTH(TODAY())&gt;=4,DATE(YEAR(TODAY())+1,3,31),DATE(YEAR(TODAY()),3,31)),"Y"))</f>
        <v/>
      </c>
      <c r="M32" s="85"/>
      <c r="N32" s="85"/>
      <c r="O32" s="85"/>
    </row>
    <row r="33" spans="2:15" ht="18" customHeight="1" x14ac:dyDescent="0.55000000000000004">
      <c r="B33" s="84"/>
      <c r="C33" s="5" t="str">
        <f>受診者マスタ[[#This Row],[会社名]]&amp;"_"&amp;受診者マスタ[[#This Row],[氏名]]</f>
        <v>_</v>
      </c>
      <c r="D33" s="85"/>
      <c r="E33" s="85"/>
      <c r="G33" s="20"/>
      <c r="H33" s="20"/>
      <c r="I33" s="4"/>
      <c r="J33" s="4"/>
      <c r="K33" s="4" t="str">
        <f>IFERROR(INDEX(tbl_コース[正式コース名],MATCH(受診者マスタ[[#This Row],[検診コース]],tbl_コース[コース],0)),"")</f>
        <v/>
      </c>
      <c r="L33" s="4" t="str">
        <f>IF(受診者マスタ[[#This Row],[生年月日]]="","",DATEDIF(受診者マスタ[[#This Row],[生年月日]],IF(MONTH(TODAY())&gt;=4,DATE(YEAR(TODAY())+1,3,31),DATE(YEAR(TODAY()),3,31)),"Y"))</f>
        <v/>
      </c>
      <c r="M33" s="85"/>
      <c r="N33" s="85"/>
      <c r="O33" s="85"/>
    </row>
    <row r="34" spans="2:15" ht="18" customHeight="1" x14ac:dyDescent="0.55000000000000004">
      <c r="B34" s="84"/>
      <c r="C34" s="5" t="str">
        <f>受診者マスタ[[#This Row],[会社名]]&amp;"_"&amp;受診者マスタ[[#This Row],[氏名]]</f>
        <v>_</v>
      </c>
      <c r="D34" s="85"/>
      <c r="E34" s="85"/>
      <c r="G34" s="20"/>
      <c r="H34" s="20"/>
      <c r="I34" s="4"/>
      <c r="J34" s="4"/>
      <c r="K34" s="4" t="str">
        <f>IFERROR(INDEX(tbl_コース[正式コース名],MATCH(受診者マスタ[[#This Row],[検診コース]],tbl_コース[コース],0)),"")</f>
        <v/>
      </c>
      <c r="L34" s="4" t="str">
        <f>IF(受診者マスタ[[#This Row],[生年月日]]="","",DATEDIF(受診者マスタ[[#This Row],[生年月日]],IF(MONTH(TODAY())&gt;=4,DATE(YEAR(TODAY())+1,3,31),DATE(YEAR(TODAY()),3,31)),"Y"))</f>
        <v/>
      </c>
      <c r="M34" s="85"/>
      <c r="N34" s="85"/>
      <c r="O34" s="85"/>
    </row>
    <row r="35" spans="2:15" ht="18" customHeight="1" x14ac:dyDescent="0.55000000000000004">
      <c r="B35" s="84"/>
      <c r="C35" s="5" t="str">
        <f>受診者マスタ[[#This Row],[会社名]]&amp;"_"&amp;受診者マスタ[[#This Row],[氏名]]</f>
        <v>_</v>
      </c>
      <c r="D35" s="85"/>
      <c r="E35" s="85"/>
      <c r="G35" s="20"/>
      <c r="H35" s="20"/>
      <c r="I35" s="4"/>
      <c r="J35" s="4"/>
      <c r="K35" s="4" t="str">
        <f>IFERROR(INDEX(tbl_コース[正式コース名],MATCH(受診者マスタ[[#This Row],[検診コース]],tbl_コース[コース],0)),"")</f>
        <v/>
      </c>
      <c r="L35" s="4" t="str">
        <f>IF(受診者マスタ[[#This Row],[生年月日]]="","",DATEDIF(受診者マスタ[[#This Row],[生年月日]],IF(MONTH(TODAY())&gt;=4,DATE(YEAR(TODAY())+1,3,31),DATE(YEAR(TODAY()),3,31)),"Y"))</f>
        <v/>
      </c>
      <c r="M35" s="85"/>
      <c r="N35" s="85"/>
      <c r="O35" s="85"/>
    </row>
    <row r="36" spans="2:15" ht="18" customHeight="1" x14ac:dyDescent="0.55000000000000004">
      <c r="B36" s="84"/>
      <c r="C36" s="5" t="str">
        <f>受診者マスタ[[#This Row],[会社名]]&amp;"_"&amp;受診者マスタ[[#This Row],[氏名]]</f>
        <v>_</v>
      </c>
      <c r="D36" s="85"/>
      <c r="E36" s="85"/>
      <c r="G36" s="20"/>
      <c r="H36" s="20"/>
      <c r="I36" s="4"/>
      <c r="J36" s="4"/>
      <c r="K36" s="4" t="str">
        <f>IFERROR(INDEX(tbl_コース[正式コース名],MATCH(受診者マスタ[[#This Row],[検診コース]],tbl_コース[コース],0)),"")</f>
        <v/>
      </c>
      <c r="L36" s="4" t="str">
        <f>IF(受診者マスタ[[#This Row],[生年月日]]="","",DATEDIF(受診者マスタ[[#This Row],[生年月日]],IF(MONTH(TODAY())&gt;=4,DATE(YEAR(TODAY())+1,3,31),DATE(YEAR(TODAY()),3,31)),"Y"))</f>
        <v/>
      </c>
      <c r="M36" s="85"/>
      <c r="N36" s="85"/>
      <c r="O36" s="85"/>
    </row>
    <row r="37" spans="2:15" ht="18" customHeight="1" x14ac:dyDescent="0.55000000000000004">
      <c r="B37" s="84"/>
      <c r="C37" s="5" t="str">
        <f>受診者マスタ[[#This Row],[会社名]]&amp;"_"&amp;受診者マスタ[[#This Row],[氏名]]</f>
        <v>_</v>
      </c>
      <c r="D37" s="85"/>
      <c r="E37" s="85"/>
      <c r="G37" s="20"/>
      <c r="H37" s="20"/>
      <c r="I37" s="4"/>
      <c r="J37" s="4"/>
      <c r="K37" s="4" t="str">
        <f>IFERROR(INDEX(tbl_コース[正式コース名],MATCH(受診者マスタ[[#This Row],[検診コース]],tbl_コース[コース],0)),"")</f>
        <v/>
      </c>
      <c r="L37" s="4" t="str">
        <f>IF(受診者マスタ[[#This Row],[生年月日]]="","",DATEDIF(受診者マスタ[[#This Row],[生年月日]],IF(MONTH(TODAY())&gt;=4,DATE(YEAR(TODAY())+1,3,31),DATE(YEAR(TODAY()),3,31)),"Y"))</f>
        <v/>
      </c>
      <c r="M37" s="85"/>
      <c r="N37" s="85"/>
      <c r="O37" s="85"/>
    </row>
    <row r="38" spans="2:15" ht="18" customHeight="1" x14ac:dyDescent="0.55000000000000004">
      <c r="B38" s="84"/>
      <c r="C38" s="5" t="str">
        <f>受診者マスタ[[#This Row],[会社名]]&amp;"_"&amp;受診者マスタ[[#This Row],[氏名]]</f>
        <v>_</v>
      </c>
      <c r="D38" s="85"/>
      <c r="E38" s="85"/>
      <c r="G38" s="20"/>
      <c r="H38" s="20"/>
      <c r="I38" s="4"/>
      <c r="J38" s="4"/>
      <c r="K38" s="4" t="str">
        <f>IFERROR(INDEX(tbl_コース[正式コース名],MATCH(受診者マスタ[[#This Row],[検診コース]],tbl_コース[コース],0)),"")</f>
        <v/>
      </c>
      <c r="L38" s="4" t="str">
        <f>IF(受診者マスタ[[#This Row],[生年月日]]="","",DATEDIF(受診者マスタ[[#This Row],[生年月日]],IF(MONTH(TODAY())&gt;=4,DATE(YEAR(TODAY())+1,3,31),DATE(YEAR(TODAY()),3,31)),"Y"))</f>
        <v/>
      </c>
      <c r="M38" s="85"/>
      <c r="N38" s="85"/>
      <c r="O38" s="85"/>
    </row>
    <row r="39" spans="2:15" ht="18" customHeight="1" x14ac:dyDescent="0.55000000000000004">
      <c r="B39" s="84"/>
      <c r="C39" s="5" t="str">
        <f>受診者マスタ[[#This Row],[会社名]]&amp;"_"&amp;受診者マスタ[[#This Row],[氏名]]</f>
        <v>_</v>
      </c>
      <c r="D39" s="85"/>
      <c r="E39" s="85"/>
      <c r="G39" s="20"/>
      <c r="H39" s="20"/>
      <c r="I39" s="4"/>
      <c r="J39" s="4"/>
      <c r="K39" s="4" t="str">
        <f>IFERROR(INDEX(tbl_コース[正式コース名],MATCH(受診者マスタ[[#This Row],[検診コース]],tbl_コース[コース],0)),"")</f>
        <v/>
      </c>
      <c r="L39" s="4" t="str">
        <f>IF(受診者マスタ[[#This Row],[生年月日]]="","",DATEDIF(受診者マスタ[[#This Row],[生年月日]],IF(MONTH(TODAY())&gt;=4,DATE(YEAR(TODAY())+1,3,31),DATE(YEAR(TODAY()),3,31)),"Y"))</f>
        <v/>
      </c>
      <c r="M39" s="85"/>
      <c r="N39" s="85"/>
      <c r="O39" s="85"/>
    </row>
    <row r="40" spans="2:15" ht="18" customHeight="1" x14ac:dyDescent="0.55000000000000004">
      <c r="B40" s="84"/>
      <c r="C40" s="5" t="str">
        <f>受診者マスタ[[#This Row],[会社名]]&amp;"_"&amp;受診者マスタ[[#This Row],[氏名]]</f>
        <v>_</v>
      </c>
      <c r="D40" s="85"/>
      <c r="E40" s="85"/>
      <c r="G40" s="20"/>
      <c r="H40" s="20"/>
      <c r="I40" s="4"/>
      <c r="J40" s="4"/>
      <c r="K40" s="4" t="str">
        <f>IFERROR(INDEX(tbl_コース[正式コース名],MATCH(受診者マスタ[[#This Row],[検診コース]],tbl_コース[コース],0)),"")</f>
        <v/>
      </c>
      <c r="L40" s="4" t="str">
        <f>IF(受診者マスタ[[#This Row],[生年月日]]="","",DATEDIF(受診者マスタ[[#This Row],[生年月日]],IF(MONTH(TODAY())&gt;=4,DATE(YEAR(TODAY())+1,3,31),DATE(YEAR(TODAY()),3,31)),"Y"))</f>
        <v/>
      </c>
      <c r="M40" s="85"/>
      <c r="N40" s="85"/>
      <c r="O40" s="85"/>
    </row>
    <row r="41" spans="2:15" ht="18" customHeight="1" x14ac:dyDescent="0.55000000000000004">
      <c r="B41" s="84"/>
      <c r="C41" s="5" t="str">
        <f>受診者マスタ[[#This Row],[会社名]]&amp;"_"&amp;受診者マスタ[[#This Row],[氏名]]</f>
        <v>_</v>
      </c>
      <c r="D41" s="85"/>
      <c r="E41" s="85"/>
      <c r="G41" s="20"/>
      <c r="H41" s="20"/>
      <c r="I41" s="4"/>
      <c r="J41" s="4"/>
      <c r="K41" s="4" t="str">
        <f>IFERROR(INDEX(tbl_コース[正式コース名],MATCH(受診者マスタ[[#This Row],[検診コース]],tbl_コース[コース],0)),"")</f>
        <v/>
      </c>
      <c r="L41" s="4" t="str">
        <f>IF(受診者マスタ[[#This Row],[生年月日]]="","",DATEDIF(受診者マスタ[[#This Row],[生年月日]],IF(MONTH(TODAY())&gt;=4,DATE(YEAR(TODAY())+1,3,31),DATE(YEAR(TODAY()),3,31)),"Y"))</f>
        <v/>
      </c>
      <c r="M41" s="85"/>
      <c r="N41" s="85"/>
      <c r="O41" s="85"/>
    </row>
    <row r="42" spans="2:15" ht="18" customHeight="1" x14ac:dyDescent="0.55000000000000004">
      <c r="B42" s="84"/>
      <c r="C42" s="5" t="str">
        <f>受診者マスタ[[#This Row],[会社名]]&amp;"_"&amp;受診者マスタ[[#This Row],[氏名]]</f>
        <v>_</v>
      </c>
      <c r="D42" s="85"/>
      <c r="E42" s="85"/>
      <c r="G42" s="20"/>
      <c r="H42" s="20"/>
      <c r="I42" s="4"/>
      <c r="J42" s="4"/>
      <c r="K42" s="4" t="str">
        <f>IFERROR(INDEX(tbl_コース[正式コース名],MATCH(受診者マスタ[[#This Row],[検診コース]],tbl_コース[コース],0)),"")</f>
        <v/>
      </c>
      <c r="L42" s="4" t="str">
        <f>IF(受診者マスタ[[#This Row],[生年月日]]="","",DATEDIF(受診者マスタ[[#This Row],[生年月日]],IF(MONTH(TODAY())&gt;=4,DATE(YEAR(TODAY())+1,3,31),DATE(YEAR(TODAY()),3,31)),"Y"))</f>
        <v/>
      </c>
      <c r="M42" s="85"/>
      <c r="N42" s="85"/>
      <c r="O42" s="85"/>
    </row>
    <row r="43" spans="2:15" ht="18" customHeight="1" x14ac:dyDescent="0.55000000000000004">
      <c r="B43" s="84"/>
      <c r="C43" s="5" t="str">
        <f>受診者マスタ[[#This Row],[会社名]]&amp;"_"&amp;受診者マスタ[[#This Row],[氏名]]</f>
        <v>_</v>
      </c>
      <c r="D43" s="85"/>
      <c r="E43" s="85"/>
      <c r="G43" s="20"/>
      <c r="H43" s="20"/>
      <c r="I43" s="4"/>
      <c r="J43" s="4"/>
      <c r="K43" s="4" t="str">
        <f>IFERROR(INDEX(tbl_コース[正式コース名],MATCH(受診者マスタ[[#This Row],[検診コース]],tbl_コース[コース],0)),"")</f>
        <v/>
      </c>
      <c r="L43" s="4" t="str">
        <f>IF(受診者マスタ[[#This Row],[生年月日]]="","",DATEDIF(受診者マスタ[[#This Row],[生年月日]],IF(MONTH(TODAY())&gt;=4,DATE(YEAR(TODAY())+1,3,31),DATE(YEAR(TODAY()),3,31)),"Y"))</f>
        <v/>
      </c>
      <c r="M43" s="85"/>
      <c r="N43" s="85"/>
      <c r="O43" s="85"/>
    </row>
    <row r="44" spans="2:15" ht="18" customHeight="1" x14ac:dyDescent="0.55000000000000004">
      <c r="B44" s="84"/>
      <c r="C44" s="5" t="str">
        <f>受診者マスタ[[#This Row],[会社名]]&amp;"_"&amp;受診者マスタ[[#This Row],[氏名]]</f>
        <v>_</v>
      </c>
      <c r="D44" s="85"/>
      <c r="E44" s="85"/>
      <c r="G44" s="20"/>
      <c r="H44" s="20"/>
      <c r="I44" s="4"/>
      <c r="J44" s="4"/>
      <c r="K44" s="4" t="str">
        <f>IFERROR(INDEX(tbl_コース[正式コース名],MATCH(受診者マスタ[[#This Row],[検診コース]],tbl_コース[コース],0)),"")</f>
        <v/>
      </c>
      <c r="L44" s="4" t="str">
        <f>IF(受診者マスタ[[#This Row],[生年月日]]="","",DATEDIF(受診者マスタ[[#This Row],[生年月日]],IF(MONTH(TODAY())&gt;=4,DATE(YEAR(TODAY())+1,3,31),DATE(YEAR(TODAY()),3,31)),"Y"))</f>
        <v/>
      </c>
      <c r="M44" s="85"/>
      <c r="N44" s="85"/>
      <c r="O44" s="85"/>
    </row>
    <row r="45" spans="2:15" ht="18" customHeight="1" x14ac:dyDescent="0.55000000000000004">
      <c r="B45" s="84"/>
      <c r="C45" s="5" t="str">
        <f>受診者マスタ[[#This Row],[会社名]]&amp;"_"&amp;受診者マスタ[[#This Row],[氏名]]</f>
        <v>_</v>
      </c>
      <c r="D45" s="85"/>
      <c r="E45" s="85"/>
      <c r="G45" s="20"/>
      <c r="H45" s="20"/>
      <c r="I45" s="4"/>
      <c r="J45" s="4"/>
      <c r="K45" s="4" t="str">
        <f>IFERROR(INDEX(tbl_コース[正式コース名],MATCH(受診者マスタ[[#This Row],[検診コース]],tbl_コース[コース],0)),"")</f>
        <v/>
      </c>
      <c r="L45" s="4" t="str">
        <f>IF(受診者マスタ[[#This Row],[生年月日]]="","",DATEDIF(受診者マスタ[[#This Row],[生年月日]],IF(MONTH(TODAY())&gt;=4,DATE(YEAR(TODAY())+1,3,31),DATE(YEAR(TODAY()),3,31)),"Y"))</f>
        <v/>
      </c>
      <c r="M45" s="85"/>
      <c r="N45" s="85"/>
      <c r="O45" s="85"/>
    </row>
    <row r="46" spans="2:15" ht="18" customHeight="1" x14ac:dyDescent="0.55000000000000004">
      <c r="B46" s="84"/>
      <c r="C46" s="5" t="str">
        <f>受診者マスタ[[#This Row],[会社名]]&amp;"_"&amp;受診者マスタ[[#This Row],[氏名]]</f>
        <v>_</v>
      </c>
      <c r="D46" s="85"/>
      <c r="E46" s="85"/>
      <c r="G46" s="20"/>
      <c r="H46" s="20"/>
      <c r="I46" s="4"/>
      <c r="J46" s="4"/>
      <c r="K46" s="4" t="str">
        <f>IFERROR(INDEX(tbl_コース[正式コース名],MATCH(受診者マスタ[[#This Row],[検診コース]],tbl_コース[コース],0)),"")</f>
        <v/>
      </c>
      <c r="L46" s="4" t="str">
        <f>IF(受診者マスタ[[#This Row],[生年月日]]="","",DATEDIF(受診者マスタ[[#This Row],[生年月日]],IF(MONTH(TODAY())&gt;=4,DATE(YEAR(TODAY())+1,3,31),DATE(YEAR(TODAY()),3,31)),"Y"))</f>
        <v/>
      </c>
      <c r="M46" s="85"/>
      <c r="N46" s="85"/>
      <c r="O46" s="85"/>
    </row>
    <row r="47" spans="2:15" ht="18" customHeight="1" x14ac:dyDescent="0.55000000000000004">
      <c r="B47" s="84"/>
      <c r="C47" s="5" t="str">
        <f>受診者マスタ[[#This Row],[会社名]]&amp;"_"&amp;受診者マスタ[[#This Row],[氏名]]</f>
        <v>_</v>
      </c>
      <c r="D47" s="85"/>
      <c r="E47" s="85"/>
      <c r="G47" s="20"/>
      <c r="H47" s="20"/>
      <c r="I47" s="4"/>
      <c r="J47" s="4"/>
      <c r="K47" s="4" t="str">
        <f>IFERROR(INDEX(tbl_コース[正式コース名],MATCH(受診者マスタ[[#This Row],[検診コース]],tbl_コース[コース],0)),"")</f>
        <v/>
      </c>
      <c r="L47" s="4" t="str">
        <f>IF(受診者マスタ[[#This Row],[生年月日]]="","",DATEDIF(受診者マスタ[[#This Row],[生年月日]],IF(MONTH(TODAY())&gt;=4,DATE(YEAR(TODAY())+1,3,31),DATE(YEAR(TODAY()),3,31)),"Y"))</f>
        <v/>
      </c>
      <c r="M47" s="85"/>
      <c r="N47" s="85"/>
      <c r="O47" s="85"/>
    </row>
    <row r="48" spans="2:15" ht="18" customHeight="1" x14ac:dyDescent="0.55000000000000004">
      <c r="B48" s="84"/>
      <c r="C48" s="5" t="str">
        <f>受診者マスタ[[#This Row],[会社名]]&amp;"_"&amp;受診者マスタ[[#This Row],[氏名]]</f>
        <v>_</v>
      </c>
      <c r="D48" s="85"/>
      <c r="E48" s="85"/>
      <c r="G48" s="20"/>
      <c r="H48" s="20"/>
      <c r="I48" s="4"/>
      <c r="J48" s="4"/>
      <c r="K48" s="4" t="str">
        <f>IFERROR(INDEX(tbl_コース[正式コース名],MATCH(受診者マスタ[[#This Row],[検診コース]],tbl_コース[コース],0)),"")</f>
        <v/>
      </c>
      <c r="L48" s="4" t="str">
        <f>IF(受診者マスタ[[#This Row],[生年月日]]="","",DATEDIF(受診者マスタ[[#This Row],[生年月日]],IF(MONTH(TODAY())&gt;=4,DATE(YEAR(TODAY())+1,3,31),DATE(YEAR(TODAY()),3,31)),"Y"))</f>
        <v/>
      </c>
      <c r="M48" s="85"/>
      <c r="N48" s="85"/>
      <c r="O48" s="85"/>
    </row>
    <row r="49" spans="2:15" ht="18" customHeight="1" x14ac:dyDescent="0.55000000000000004">
      <c r="B49" s="84"/>
      <c r="C49" s="5" t="str">
        <f>受診者マスタ[[#This Row],[会社名]]&amp;"_"&amp;受診者マスタ[[#This Row],[氏名]]</f>
        <v>_</v>
      </c>
      <c r="D49" s="85"/>
      <c r="E49" s="85"/>
      <c r="G49" s="20"/>
      <c r="H49" s="20"/>
      <c r="I49" s="4"/>
      <c r="J49" s="4"/>
      <c r="K49" s="4" t="str">
        <f>IFERROR(INDEX(tbl_コース[正式コース名],MATCH(受診者マスタ[[#This Row],[検診コース]],tbl_コース[コース],0)),"")</f>
        <v/>
      </c>
      <c r="L49" s="4" t="str">
        <f>IF(受診者マスタ[[#This Row],[生年月日]]="","",DATEDIF(受診者マスタ[[#This Row],[生年月日]],IF(MONTH(TODAY())&gt;=4,DATE(YEAR(TODAY())+1,3,31),DATE(YEAR(TODAY()),3,31)),"Y"))</f>
        <v/>
      </c>
      <c r="M49" s="85"/>
      <c r="N49" s="85"/>
      <c r="O49" s="85"/>
    </row>
    <row r="50" spans="2:15" ht="18" customHeight="1" x14ac:dyDescent="0.55000000000000004">
      <c r="B50" s="84"/>
      <c r="C50" s="5" t="str">
        <f>受診者マスタ[[#This Row],[会社名]]&amp;"_"&amp;受診者マスタ[[#This Row],[氏名]]</f>
        <v>_</v>
      </c>
      <c r="D50" s="85"/>
      <c r="E50" s="85"/>
      <c r="G50" s="20"/>
      <c r="H50" s="20"/>
      <c r="I50" s="4"/>
      <c r="J50" s="4"/>
      <c r="K50" s="4" t="str">
        <f>IFERROR(INDEX(tbl_コース[正式コース名],MATCH(受診者マスタ[[#This Row],[検診コース]],tbl_コース[コース],0)),"")</f>
        <v/>
      </c>
      <c r="L50" s="4" t="str">
        <f>IF(受診者マスタ[[#This Row],[生年月日]]="","",DATEDIF(受診者マスタ[[#This Row],[生年月日]],IF(MONTH(TODAY())&gt;=4,DATE(YEAR(TODAY())+1,3,31),DATE(YEAR(TODAY()),3,31)),"Y"))</f>
        <v/>
      </c>
      <c r="M50" s="85"/>
      <c r="N50" s="85"/>
      <c r="O50" s="85"/>
    </row>
    <row r="51" spans="2:15" ht="18" customHeight="1" x14ac:dyDescent="0.55000000000000004">
      <c r="B51" s="84"/>
      <c r="C51" s="5" t="str">
        <f>受診者マスタ[[#This Row],[会社名]]&amp;"_"&amp;受診者マスタ[[#This Row],[氏名]]</f>
        <v>_</v>
      </c>
      <c r="D51" s="85"/>
      <c r="E51" s="85"/>
      <c r="G51" s="20"/>
      <c r="H51" s="20"/>
      <c r="I51" s="4"/>
      <c r="J51" s="4"/>
      <c r="K51" s="4" t="str">
        <f>IFERROR(INDEX(tbl_コース[正式コース名],MATCH(受診者マスタ[[#This Row],[検診コース]],tbl_コース[コース],0)),"")</f>
        <v/>
      </c>
      <c r="L51" s="4" t="str">
        <f>IF(受診者マスタ[[#This Row],[生年月日]]="","",DATEDIF(受診者マスタ[[#This Row],[生年月日]],IF(MONTH(TODAY())&gt;=4,DATE(YEAR(TODAY())+1,3,31),DATE(YEAR(TODAY()),3,31)),"Y"))</f>
        <v/>
      </c>
      <c r="M51" s="85"/>
      <c r="N51" s="85"/>
      <c r="O51" s="85"/>
    </row>
    <row r="52" spans="2:15" ht="18" customHeight="1" x14ac:dyDescent="0.55000000000000004">
      <c r="B52" s="84"/>
      <c r="C52" s="5" t="str">
        <f>受診者マスタ[[#This Row],[会社名]]&amp;"_"&amp;受診者マスタ[[#This Row],[氏名]]</f>
        <v>_</v>
      </c>
      <c r="D52" s="85"/>
      <c r="E52" s="85"/>
      <c r="G52" s="20"/>
      <c r="H52" s="20"/>
      <c r="I52" s="4"/>
      <c r="J52" s="4"/>
      <c r="K52" s="4" t="str">
        <f>IFERROR(INDEX(tbl_コース[正式コース名],MATCH(受診者マスタ[[#This Row],[検診コース]],tbl_コース[コース],0)),"")</f>
        <v/>
      </c>
      <c r="L52" s="4" t="str">
        <f>IF(受診者マスタ[[#This Row],[生年月日]]="","",DATEDIF(受診者マスタ[[#This Row],[生年月日]],IF(MONTH(TODAY())&gt;=4,DATE(YEAR(TODAY())+1,3,31),DATE(YEAR(TODAY()),3,31)),"Y"))</f>
        <v/>
      </c>
      <c r="M52" s="85"/>
      <c r="N52" s="85"/>
      <c r="O52" s="85"/>
    </row>
    <row r="53" spans="2:15" ht="18" customHeight="1" x14ac:dyDescent="0.55000000000000004">
      <c r="B53" s="84"/>
      <c r="C53" s="5" t="str">
        <f>受診者マスタ[[#This Row],[会社名]]&amp;"_"&amp;受診者マスタ[[#This Row],[氏名]]</f>
        <v>_</v>
      </c>
      <c r="D53" s="85"/>
      <c r="E53" s="85"/>
      <c r="G53" s="20"/>
      <c r="H53" s="20"/>
      <c r="I53" s="4"/>
      <c r="J53" s="4"/>
      <c r="K53" s="4" t="str">
        <f>IFERROR(INDEX(tbl_コース[正式コース名],MATCH(受診者マスタ[[#This Row],[検診コース]],tbl_コース[コース],0)),"")</f>
        <v/>
      </c>
      <c r="L53" s="4" t="str">
        <f>IF(受診者マスタ[[#This Row],[生年月日]]="","",DATEDIF(受診者マスタ[[#This Row],[生年月日]],IF(MONTH(TODAY())&gt;=4,DATE(YEAR(TODAY())+1,3,31),DATE(YEAR(TODAY()),3,31)),"Y"))</f>
        <v/>
      </c>
      <c r="M53" s="85"/>
      <c r="N53" s="85"/>
      <c r="O53" s="85"/>
    </row>
    <row r="54" spans="2:15" ht="18" customHeight="1" x14ac:dyDescent="0.55000000000000004">
      <c r="B54" s="84"/>
      <c r="C54" s="5" t="str">
        <f>受診者マスタ[[#This Row],[会社名]]&amp;"_"&amp;受診者マスタ[[#This Row],[氏名]]</f>
        <v>_</v>
      </c>
      <c r="D54" s="85"/>
      <c r="E54" s="85"/>
      <c r="G54" s="20"/>
      <c r="H54" s="20"/>
      <c r="I54" s="4"/>
      <c r="J54" s="4"/>
      <c r="K54" s="4" t="str">
        <f>IFERROR(INDEX(tbl_コース[正式コース名],MATCH(受診者マスタ[[#This Row],[検診コース]],tbl_コース[コース],0)),"")</f>
        <v/>
      </c>
      <c r="L54" s="4" t="str">
        <f>IF(受診者マスタ[[#This Row],[生年月日]]="","",DATEDIF(受診者マスタ[[#This Row],[生年月日]],IF(MONTH(TODAY())&gt;=4,DATE(YEAR(TODAY())+1,3,31),DATE(YEAR(TODAY()),3,31)),"Y"))</f>
        <v/>
      </c>
      <c r="M54" s="85"/>
      <c r="N54" s="85"/>
      <c r="O54" s="85"/>
    </row>
    <row r="55" spans="2:15" ht="18" customHeight="1" x14ac:dyDescent="0.55000000000000004">
      <c r="B55" s="84"/>
      <c r="C55" s="5" t="str">
        <f>受診者マスタ[[#This Row],[会社名]]&amp;"_"&amp;受診者マスタ[[#This Row],[氏名]]</f>
        <v>_</v>
      </c>
      <c r="D55" s="85"/>
      <c r="E55" s="85"/>
      <c r="G55" s="20"/>
      <c r="H55" s="20"/>
      <c r="I55" s="4"/>
      <c r="J55" s="4"/>
      <c r="K55" s="4" t="str">
        <f>IFERROR(INDEX(tbl_コース[正式コース名],MATCH(受診者マスタ[[#This Row],[検診コース]],tbl_コース[コース],0)),"")</f>
        <v/>
      </c>
      <c r="L55" s="4" t="str">
        <f>IF(受診者マスタ[[#This Row],[生年月日]]="","",DATEDIF(受診者マスタ[[#This Row],[生年月日]],IF(MONTH(TODAY())&gt;=4,DATE(YEAR(TODAY())+1,3,31),DATE(YEAR(TODAY()),3,31)),"Y"))</f>
        <v/>
      </c>
      <c r="M55" s="85"/>
      <c r="N55" s="85"/>
      <c r="O55" s="85"/>
    </row>
    <row r="56" spans="2:15" ht="18" customHeight="1" x14ac:dyDescent="0.55000000000000004">
      <c r="B56" s="84"/>
      <c r="C56" s="5" t="str">
        <f>受診者マスタ[[#This Row],[会社名]]&amp;"_"&amp;受診者マスタ[[#This Row],[氏名]]</f>
        <v>_</v>
      </c>
      <c r="D56" s="85"/>
      <c r="E56" s="85"/>
      <c r="G56" s="20"/>
      <c r="H56" s="20"/>
      <c r="I56" s="4"/>
      <c r="J56" s="4"/>
      <c r="K56" s="4" t="str">
        <f>IFERROR(INDEX(tbl_コース[正式コース名],MATCH(受診者マスタ[[#This Row],[検診コース]],tbl_コース[コース],0)),"")</f>
        <v/>
      </c>
      <c r="L56" s="4" t="str">
        <f>IF(受診者マスタ[[#This Row],[生年月日]]="","",DATEDIF(受診者マスタ[[#This Row],[生年月日]],IF(MONTH(TODAY())&gt;=4,DATE(YEAR(TODAY())+1,3,31),DATE(YEAR(TODAY()),3,31)),"Y"))</f>
        <v/>
      </c>
      <c r="M56" s="85"/>
      <c r="N56" s="85"/>
      <c r="O56" s="85"/>
    </row>
    <row r="57" spans="2:15" ht="18" customHeight="1" x14ac:dyDescent="0.55000000000000004">
      <c r="B57" s="84"/>
      <c r="C57" s="5" t="str">
        <f>受診者マスタ[[#This Row],[会社名]]&amp;"_"&amp;受診者マスタ[[#This Row],[氏名]]</f>
        <v>_</v>
      </c>
      <c r="D57" s="85"/>
      <c r="E57" s="85"/>
      <c r="F57" s="5"/>
      <c r="G57" s="86"/>
      <c r="H57" s="20"/>
      <c r="I57" s="4"/>
      <c r="J57" s="4"/>
      <c r="K57" s="4" t="str">
        <f>IFERROR(INDEX(tbl_コース[正式コース名],MATCH(受診者マスタ[[#This Row],[検診コース]],tbl_コース[コース],0)),"")</f>
        <v/>
      </c>
      <c r="L57" s="4" t="str">
        <f>IF(受診者マスタ[[#This Row],[生年月日]]="","",DATEDIF(受診者マスタ[[#This Row],[生年月日]],IF(MONTH(TODAY())&gt;=4,DATE(YEAR(TODAY())+1,3,31),DATE(YEAR(TODAY()),3,31)),"Y"))</f>
        <v/>
      </c>
      <c r="M57" s="85"/>
      <c r="N57" s="85"/>
      <c r="O57" s="85"/>
    </row>
    <row r="58" spans="2:15" ht="18" customHeight="1" x14ac:dyDescent="0.55000000000000004">
      <c r="B58" s="84"/>
      <c r="C58" s="5" t="str">
        <f>受診者マスタ[[#This Row],[会社名]]&amp;"_"&amp;受診者マスタ[[#This Row],[氏名]]</f>
        <v>_</v>
      </c>
      <c r="D58" s="85"/>
      <c r="E58" s="85"/>
      <c r="F58" s="5"/>
      <c r="G58" s="86"/>
      <c r="H58" s="20"/>
      <c r="I58" s="4"/>
      <c r="J58" s="4"/>
      <c r="K58" s="4" t="str">
        <f>IFERROR(INDEX(tbl_コース[正式コース名],MATCH(受診者マスタ[[#This Row],[検診コース]],tbl_コース[コース],0)),"")</f>
        <v/>
      </c>
      <c r="L58" s="4" t="str">
        <f>IF(受診者マスタ[[#This Row],[生年月日]]="","",DATEDIF(受診者マスタ[[#This Row],[生年月日]],IF(MONTH(TODAY())&gt;=4,DATE(YEAR(TODAY())+1,3,31),DATE(YEAR(TODAY()),3,31)),"Y"))</f>
        <v/>
      </c>
      <c r="M58" s="85"/>
      <c r="N58" s="85"/>
      <c r="O58" s="85"/>
    </row>
    <row r="59" spans="2:15" ht="18" customHeight="1" x14ac:dyDescent="0.55000000000000004">
      <c r="B59" s="84"/>
      <c r="C59" s="5" t="str">
        <f>受診者マスタ[[#This Row],[会社名]]&amp;"_"&amp;受診者マスタ[[#This Row],[氏名]]</f>
        <v>_</v>
      </c>
      <c r="D59" s="85"/>
      <c r="E59" s="85"/>
      <c r="F59" s="5"/>
      <c r="G59" s="86"/>
      <c r="H59" s="20"/>
      <c r="I59" s="4"/>
      <c r="J59" s="4"/>
      <c r="K59" s="4" t="str">
        <f>IFERROR(INDEX(tbl_コース[正式コース名],MATCH(受診者マスタ[[#This Row],[検診コース]],tbl_コース[コース],0)),"")</f>
        <v/>
      </c>
      <c r="L59" s="4" t="str">
        <f>IF(受診者マスタ[[#This Row],[生年月日]]="","",DATEDIF(受診者マスタ[[#This Row],[生年月日]],IF(MONTH(TODAY())&gt;=4,DATE(YEAR(TODAY())+1,3,31),DATE(YEAR(TODAY()),3,31)),"Y"))</f>
        <v/>
      </c>
      <c r="M59" s="85"/>
      <c r="N59" s="85"/>
      <c r="O59" s="85"/>
    </row>
    <row r="60" spans="2:15" ht="18" customHeight="1" x14ac:dyDescent="0.55000000000000004">
      <c r="B60" s="84"/>
      <c r="C60" s="5" t="str">
        <f>受診者マスタ[[#This Row],[会社名]]&amp;"_"&amp;受診者マスタ[[#This Row],[氏名]]</f>
        <v>_</v>
      </c>
      <c r="D60" s="85"/>
      <c r="E60" s="85"/>
      <c r="F60" s="5"/>
      <c r="G60" s="86"/>
      <c r="H60" s="20"/>
      <c r="I60" s="4"/>
      <c r="J60" s="4"/>
      <c r="K60" s="4" t="str">
        <f>IFERROR(INDEX(tbl_コース[正式コース名],MATCH(受診者マスタ[[#This Row],[検診コース]],tbl_コース[コース],0)),"")</f>
        <v/>
      </c>
      <c r="L60" s="4" t="str">
        <f>IF(受診者マスタ[[#This Row],[生年月日]]="","",DATEDIF(受診者マスタ[[#This Row],[生年月日]],IF(MONTH(TODAY())&gt;=4,DATE(YEAR(TODAY())+1,3,31),DATE(YEAR(TODAY()),3,31)),"Y"))</f>
        <v/>
      </c>
      <c r="M60" s="85"/>
      <c r="N60" s="85"/>
      <c r="O60" s="85"/>
    </row>
    <row r="61" spans="2:15" ht="18" customHeight="1" x14ac:dyDescent="0.55000000000000004">
      <c r="B61" s="84"/>
      <c r="C61" s="5" t="str">
        <f>受診者マスタ[[#This Row],[会社名]]&amp;"_"&amp;受診者マスタ[[#This Row],[氏名]]</f>
        <v>_</v>
      </c>
      <c r="D61" s="85"/>
      <c r="E61" s="85"/>
      <c r="F61" s="5"/>
      <c r="G61" s="86"/>
      <c r="H61" s="20"/>
      <c r="I61" s="4"/>
      <c r="J61" s="4"/>
      <c r="K61" s="4" t="str">
        <f>IFERROR(INDEX(tbl_コース[正式コース名],MATCH(受診者マスタ[[#This Row],[検診コース]],tbl_コース[コース],0)),"")</f>
        <v/>
      </c>
      <c r="L61" s="4" t="str">
        <f>IF(受診者マスタ[[#This Row],[生年月日]]="","",DATEDIF(受診者マスタ[[#This Row],[生年月日]],IF(MONTH(TODAY())&gt;=4,DATE(YEAR(TODAY())+1,3,31),DATE(YEAR(TODAY()),3,31)),"Y"))</f>
        <v/>
      </c>
      <c r="M61" s="85"/>
      <c r="N61" s="85"/>
      <c r="O61" s="85"/>
    </row>
    <row r="62" spans="2:15" ht="18" customHeight="1" x14ac:dyDescent="0.55000000000000004">
      <c r="B62" s="84"/>
      <c r="C62" s="5" t="str">
        <f>受診者マスタ[[#This Row],[会社名]]&amp;"_"&amp;受診者マスタ[[#This Row],[氏名]]</f>
        <v>_</v>
      </c>
      <c r="D62" s="85"/>
      <c r="E62" s="85"/>
      <c r="F62" s="5"/>
      <c r="G62" s="86"/>
      <c r="H62" s="20"/>
      <c r="I62" s="4"/>
      <c r="J62" s="4"/>
      <c r="K62" s="4" t="str">
        <f>IFERROR(INDEX(tbl_コース[正式コース名],MATCH(受診者マスタ[[#This Row],[検診コース]],tbl_コース[コース],0)),"")</f>
        <v/>
      </c>
      <c r="L62" s="4" t="str">
        <f>IF(受診者マスタ[[#This Row],[生年月日]]="","",DATEDIF(受診者マスタ[[#This Row],[生年月日]],IF(MONTH(TODAY())&gt;=4,DATE(YEAR(TODAY())+1,3,31),DATE(YEAR(TODAY()),3,31)),"Y"))</f>
        <v/>
      </c>
      <c r="M62" s="85"/>
      <c r="N62" s="85"/>
      <c r="O62" s="85"/>
    </row>
    <row r="63" spans="2:15" ht="18" customHeight="1" x14ac:dyDescent="0.55000000000000004">
      <c r="B63" s="84"/>
      <c r="C63" s="5" t="str">
        <f>受診者マスタ[[#This Row],[会社名]]&amp;"_"&amp;受診者マスタ[[#This Row],[氏名]]</f>
        <v>_</v>
      </c>
      <c r="D63" s="85"/>
      <c r="E63" s="85"/>
      <c r="F63" s="5"/>
      <c r="G63" s="86"/>
      <c r="H63" s="20"/>
      <c r="I63" s="4"/>
      <c r="J63" s="4"/>
      <c r="K63" s="4" t="str">
        <f>IFERROR(INDEX(tbl_コース[正式コース名],MATCH(受診者マスタ[[#This Row],[検診コース]],tbl_コース[コース],0)),"")</f>
        <v/>
      </c>
      <c r="L63" s="4" t="str">
        <f>IF(受診者マスタ[[#This Row],[生年月日]]="","",DATEDIF(受診者マスタ[[#This Row],[生年月日]],IF(MONTH(TODAY())&gt;=4,DATE(YEAR(TODAY())+1,3,31),DATE(YEAR(TODAY()),3,31)),"Y"))</f>
        <v/>
      </c>
      <c r="M63" s="85"/>
      <c r="N63" s="85"/>
      <c r="O63" s="85"/>
    </row>
    <row r="64" spans="2:15" ht="18" customHeight="1" x14ac:dyDescent="0.55000000000000004">
      <c r="B64" s="84"/>
      <c r="C64" s="5" t="str">
        <f>受診者マスタ[[#This Row],[会社名]]&amp;"_"&amp;受診者マスタ[[#This Row],[氏名]]</f>
        <v>_</v>
      </c>
      <c r="D64" s="85"/>
      <c r="E64" s="85"/>
      <c r="F64" s="5"/>
      <c r="G64" s="86"/>
      <c r="H64" s="20"/>
      <c r="I64" s="4"/>
      <c r="J64" s="4"/>
      <c r="K64" s="4" t="str">
        <f>IFERROR(INDEX(tbl_コース[正式コース名],MATCH(受診者マスタ[[#This Row],[検診コース]],tbl_コース[コース],0)),"")</f>
        <v/>
      </c>
      <c r="L64" s="4" t="str">
        <f>IF(受診者マスタ[[#This Row],[生年月日]]="","",DATEDIF(受診者マスタ[[#This Row],[生年月日]],IF(MONTH(TODAY())&gt;=4,DATE(YEAR(TODAY())+1,3,31),DATE(YEAR(TODAY()),3,31)),"Y"))</f>
        <v/>
      </c>
      <c r="M64" s="85"/>
      <c r="N64" s="85"/>
      <c r="O64" s="85"/>
    </row>
    <row r="65" spans="2:15" ht="18" customHeight="1" x14ac:dyDescent="0.55000000000000004">
      <c r="B65" s="84"/>
      <c r="C65" s="5" t="str">
        <f>受診者マスタ[[#This Row],[会社名]]&amp;"_"&amp;受診者マスタ[[#This Row],[氏名]]</f>
        <v>_</v>
      </c>
      <c r="D65" s="85"/>
      <c r="E65" s="85"/>
      <c r="F65" s="5"/>
      <c r="G65" s="86"/>
      <c r="H65" s="20"/>
      <c r="I65" s="4"/>
      <c r="J65" s="4"/>
      <c r="K65" s="4" t="str">
        <f>IFERROR(INDEX(tbl_コース[正式コース名],MATCH(受診者マスタ[[#This Row],[検診コース]],tbl_コース[コース],0)),"")</f>
        <v/>
      </c>
      <c r="L65" s="4" t="str">
        <f>IF(受診者マスタ[[#This Row],[生年月日]]="","",DATEDIF(受診者マスタ[[#This Row],[生年月日]],IF(MONTH(TODAY())&gt;=4,DATE(YEAR(TODAY())+1,3,31),DATE(YEAR(TODAY()),3,31)),"Y"))</f>
        <v/>
      </c>
      <c r="M65" s="85"/>
      <c r="N65" s="85"/>
      <c r="O65" s="85"/>
    </row>
    <row r="66" spans="2:15" ht="18" customHeight="1" x14ac:dyDescent="0.55000000000000004">
      <c r="B66" s="84"/>
      <c r="C66" s="5" t="str">
        <f>受診者マスタ[[#This Row],[会社名]]&amp;"_"&amp;受診者マスタ[[#This Row],[氏名]]</f>
        <v>_</v>
      </c>
      <c r="D66" s="85"/>
      <c r="E66" s="85"/>
      <c r="F66" s="5"/>
      <c r="G66" s="86"/>
      <c r="H66" s="20"/>
      <c r="I66" s="4"/>
      <c r="J66" s="4"/>
      <c r="K66" s="4" t="str">
        <f>IFERROR(INDEX(tbl_コース[正式コース名],MATCH(受診者マスタ[[#This Row],[検診コース]],tbl_コース[コース],0)),"")</f>
        <v/>
      </c>
      <c r="L66" s="4" t="str">
        <f>IF(受診者マスタ[[#This Row],[生年月日]]="","",DATEDIF(受診者マスタ[[#This Row],[生年月日]],IF(MONTH(TODAY())&gt;=4,DATE(YEAR(TODAY())+1,3,31),DATE(YEAR(TODAY()),3,31)),"Y"))</f>
        <v/>
      </c>
      <c r="M66" s="85"/>
      <c r="N66" s="85"/>
      <c r="O66" s="85"/>
    </row>
    <row r="67" spans="2:15" ht="18" customHeight="1" x14ac:dyDescent="0.55000000000000004">
      <c r="B67" s="84"/>
      <c r="C67" s="5" t="str">
        <f>受診者マスタ[[#This Row],[会社名]]&amp;"_"&amp;受診者マスタ[[#This Row],[氏名]]</f>
        <v>_</v>
      </c>
      <c r="D67" s="85"/>
      <c r="E67" s="85"/>
      <c r="F67" s="5"/>
      <c r="G67" s="86"/>
      <c r="H67" s="20"/>
      <c r="I67" s="4"/>
      <c r="J67" s="4"/>
      <c r="K67" s="4" t="str">
        <f>IFERROR(INDEX(tbl_コース[正式コース名],MATCH(受診者マスタ[[#This Row],[検診コース]],tbl_コース[コース],0)),"")</f>
        <v/>
      </c>
      <c r="L67" s="4" t="str">
        <f>IF(受診者マスタ[[#This Row],[生年月日]]="","",DATEDIF(受診者マスタ[[#This Row],[生年月日]],IF(MONTH(TODAY())&gt;=4,DATE(YEAR(TODAY())+1,3,31),DATE(YEAR(TODAY()),3,31)),"Y"))</f>
        <v/>
      </c>
      <c r="M67" s="85"/>
      <c r="N67" s="85"/>
      <c r="O67" s="85"/>
    </row>
    <row r="68" spans="2:15" ht="18" customHeight="1" x14ac:dyDescent="0.55000000000000004">
      <c r="B68" s="84"/>
      <c r="C68" s="5" t="str">
        <f>受診者マスタ[[#This Row],[会社名]]&amp;"_"&amp;受診者マスタ[[#This Row],[氏名]]</f>
        <v>_</v>
      </c>
      <c r="D68" s="85"/>
      <c r="E68" s="85"/>
      <c r="F68" s="5"/>
      <c r="G68" s="86"/>
      <c r="H68" s="20"/>
      <c r="I68" s="4"/>
      <c r="J68" s="4"/>
      <c r="K68" s="4" t="str">
        <f>IFERROR(INDEX(tbl_コース[正式コース名],MATCH(受診者マスタ[[#This Row],[検診コース]],tbl_コース[コース],0)),"")</f>
        <v/>
      </c>
      <c r="L68" s="4" t="str">
        <f>IF(受診者マスタ[[#This Row],[生年月日]]="","",DATEDIF(受診者マスタ[[#This Row],[生年月日]],IF(MONTH(TODAY())&gt;=4,DATE(YEAR(TODAY())+1,3,31),DATE(YEAR(TODAY()),3,31)),"Y"))</f>
        <v/>
      </c>
      <c r="M68" s="85"/>
      <c r="N68" s="85"/>
      <c r="O68" s="85"/>
    </row>
    <row r="69" spans="2:15" ht="18" customHeight="1" x14ac:dyDescent="0.55000000000000004">
      <c r="B69" s="84"/>
      <c r="C69" s="5" t="str">
        <f>受診者マスタ[[#This Row],[会社名]]&amp;"_"&amp;受診者マスタ[[#This Row],[氏名]]</f>
        <v>_</v>
      </c>
      <c r="D69" s="85"/>
      <c r="E69" s="85"/>
      <c r="F69" s="5"/>
      <c r="G69" s="86"/>
      <c r="H69" s="20"/>
      <c r="I69" s="4"/>
      <c r="J69" s="4"/>
      <c r="K69" s="4" t="str">
        <f>IFERROR(INDEX(tbl_コース[正式コース名],MATCH(受診者マスタ[[#This Row],[検診コース]],tbl_コース[コース],0)),"")</f>
        <v/>
      </c>
      <c r="L69" s="4" t="str">
        <f>IF(受診者マスタ[[#This Row],[生年月日]]="","",DATEDIF(受診者マスタ[[#This Row],[生年月日]],IF(MONTH(TODAY())&gt;=4,DATE(YEAR(TODAY())+1,3,31),DATE(YEAR(TODAY()),3,31)),"Y"))</f>
        <v/>
      </c>
      <c r="M69" s="85"/>
      <c r="N69" s="85"/>
      <c r="O69" s="85"/>
    </row>
    <row r="70" spans="2:15" ht="18" customHeight="1" x14ac:dyDescent="0.55000000000000004">
      <c r="B70" s="84"/>
      <c r="C70" s="5" t="str">
        <f>受診者マスタ[[#This Row],[会社名]]&amp;"_"&amp;受診者マスタ[[#This Row],[氏名]]</f>
        <v>_</v>
      </c>
      <c r="D70" s="85"/>
      <c r="E70" s="85"/>
      <c r="F70" s="5"/>
      <c r="G70" s="86"/>
      <c r="H70" s="20"/>
      <c r="I70" s="4"/>
      <c r="J70" s="4"/>
      <c r="K70" s="4" t="str">
        <f>IFERROR(INDEX(tbl_コース[正式コース名],MATCH(受診者マスタ[[#This Row],[検診コース]],tbl_コース[コース],0)),"")</f>
        <v/>
      </c>
      <c r="L70" s="4" t="str">
        <f>IF(受診者マスタ[[#This Row],[生年月日]]="","",DATEDIF(受診者マスタ[[#This Row],[生年月日]],IF(MONTH(TODAY())&gt;=4,DATE(YEAR(TODAY())+1,3,31),DATE(YEAR(TODAY()),3,31)),"Y"))</f>
        <v/>
      </c>
      <c r="M70" s="85"/>
      <c r="N70" s="85"/>
      <c r="O70" s="85"/>
    </row>
    <row r="71" spans="2:15" ht="18" customHeight="1" x14ac:dyDescent="0.55000000000000004">
      <c r="B71" s="84"/>
      <c r="C71" s="5" t="str">
        <f>受診者マスタ[[#This Row],[会社名]]&amp;"_"&amp;受診者マスタ[[#This Row],[氏名]]</f>
        <v>_</v>
      </c>
      <c r="D71" s="85"/>
      <c r="E71" s="85"/>
      <c r="F71" s="5"/>
      <c r="G71" s="86"/>
      <c r="H71" s="20"/>
      <c r="I71" s="4"/>
      <c r="J71" s="4"/>
      <c r="K71" s="4" t="str">
        <f>IFERROR(INDEX(tbl_コース[正式コース名],MATCH(受診者マスタ[[#This Row],[検診コース]],tbl_コース[コース],0)),"")</f>
        <v/>
      </c>
      <c r="L71" s="4" t="str">
        <f>IF(受診者マスタ[[#This Row],[生年月日]]="","",DATEDIF(受診者マスタ[[#This Row],[生年月日]],IF(MONTH(TODAY())&gt;=4,DATE(YEAR(TODAY())+1,3,31),DATE(YEAR(TODAY()),3,31)),"Y"))</f>
        <v/>
      </c>
      <c r="M71" s="85"/>
      <c r="N71" s="85"/>
      <c r="O71" s="85"/>
    </row>
    <row r="72" spans="2:15" ht="18" customHeight="1" x14ac:dyDescent="0.55000000000000004">
      <c r="B72" s="84"/>
      <c r="C72" s="5" t="str">
        <f>受診者マスタ[[#This Row],[会社名]]&amp;"_"&amp;受診者マスタ[[#This Row],[氏名]]</f>
        <v>_</v>
      </c>
      <c r="D72" s="85"/>
      <c r="E72" s="85"/>
      <c r="F72" s="5"/>
      <c r="G72" s="86"/>
      <c r="H72" s="20"/>
      <c r="I72" s="4"/>
      <c r="J72" s="4"/>
      <c r="K72" s="4" t="str">
        <f>IFERROR(INDEX(tbl_コース[正式コース名],MATCH(受診者マスタ[[#This Row],[検診コース]],tbl_コース[コース],0)),"")</f>
        <v/>
      </c>
      <c r="L72" s="4" t="str">
        <f>IF(受診者マスタ[[#This Row],[生年月日]]="","",DATEDIF(受診者マスタ[[#This Row],[生年月日]],IF(MONTH(TODAY())&gt;=4,DATE(YEAR(TODAY())+1,3,31),DATE(YEAR(TODAY()),3,31)),"Y"))</f>
        <v/>
      </c>
      <c r="M72" s="85"/>
      <c r="N72" s="85"/>
      <c r="O72" s="85"/>
    </row>
    <row r="73" spans="2:15" ht="18" customHeight="1" x14ac:dyDescent="0.55000000000000004">
      <c r="B73" s="84"/>
      <c r="C73" s="5" t="str">
        <f>受診者マスタ[[#This Row],[会社名]]&amp;"_"&amp;受診者マスタ[[#This Row],[氏名]]</f>
        <v>_</v>
      </c>
      <c r="D73" s="85"/>
      <c r="E73" s="85"/>
      <c r="F73" s="5"/>
      <c r="G73" s="86"/>
      <c r="H73" s="20"/>
      <c r="I73" s="4"/>
      <c r="J73" s="4"/>
      <c r="K73" s="4" t="str">
        <f>IFERROR(INDEX(tbl_コース[正式コース名],MATCH(受診者マスタ[[#This Row],[検診コース]],tbl_コース[コース],0)),"")</f>
        <v/>
      </c>
      <c r="L73" s="4" t="str">
        <f>IF(受診者マスタ[[#This Row],[生年月日]]="","",DATEDIF(受診者マスタ[[#This Row],[生年月日]],IF(MONTH(TODAY())&gt;=4,DATE(YEAR(TODAY())+1,3,31),DATE(YEAR(TODAY()),3,31)),"Y"))</f>
        <v/>
      </c>
      <c r="M73" s="85"/>
      <c r="N73" s="85"/>
      <c r="O73" s="85"/>
    </row>
    <row r="74" spans="2:15" ht="18" customHeight="1" x14ac:dyDescent="0.55000000000000004">
      <c r="B74" s="84"/>
      <c r="C74" s="5" t="str">
        <f>受診者マスタ[[#This Row],[会社名]]&amp;"_"&amp;受診者マスタ[[#This Row],[氏名]]</f>
        <v>_</v>
      </c>
      <c r="D74" s="85"/>
      <c r="E74" s="85"/>
      <c r="F74" s="5"/>
      <c r="G74" s="86"/>
      <c r="H74" s="20"/>
      <c r="I74" s="4"/>
      <c r="J74" s="4"/>
      <c r="K74" s="4" t="str">
        <f>IFERROR(INDEX(tbl_コース[正式コース名],MATCH(受診者マスタ[[#This Row],[検診コース]],tbl_コース[コース],0)),"")</f>
        <v/>
      </c>
      <c r="L74" s="4" t="str">
        <f>IF(受診者マスタ[[#This Row],[生年月日]]="","",DATEDIF(受診者マスタ[[#This Row],[生年月日]],IF(MONTH(TODAY())&gt;=4,DATE(YEAR(TODAY())+1,3,31),DATE(YEAR(TODAY()),3,31)),"Y"))</f>
        <v/>
      </c>
      <c r="M74" s="85"/>
      <c r="N74" s="85"/>
      <c r="O74" s="85"/>
    </row>
    <row r="75" spans="2:15" ht="18" customHeight="1" x14ac:dyDescent="0.55000000000000004">
      <c r="B75" s="84"/>
      <c r="C75" s="5" t="str">
        <f>受診者マスタ[[#This Row],[会社名]]&amp;"_"&amp;受診者マスタ[[#This Row],[氏名]]</f>
        <v>_</v>
      </c>
      <c r="D75" s="85"/>
      <c r="E75" s="85"/>
      <c r="F75" s="5"/>
      <c r="G75" s="86"/>
      <c r="H75" s="20"/>
      <c r="I75" s="4"/>
      <c r="J75" s="4"/>
      <c r="K75" s="4" t="str">
        <f>IFERROR(INDEX(tbl_コース[正式コース名],MATCH(受診者マスタ[[#This Row],[検診コース]],tbl_コース[コース],0)),"")</f>
        <v/>
      </c>
      <c r="L75" s="4" t="str">
        <f>IF(受診者マスタ[[#This Row],[生年月日]]="","",DATEDIF(受診者マスタ[[#This Row],[生年月日]],IF(MONTH(TODAY())&gt;=4,DATE(YEAR(TODAY())+1,3,31),DATE(YEAR(TODAY()),3,31)),"Y"))</f>
        <v/>
      </c>
      <c r="M75" s="85"/>
      <c r="N75" s="85"/>
      <c r="O75" s="85"/>
    </row>
    <row r="76" spans="2:15" ht="18" customHeight="1" x14ac:dyDescent="0.55000000000000004">
      <c r="B76" s="84"/>
      <c r="C76" s="5" t="str">
        <f>受診者マスタ[[#This Row],[会社名]]&amp;"_"&amp;受診者マスタ[[#This Row],[氏名]]</f>
        <v>_</v>
      </c>
      <c r="D76" s="85"/>
      <c r="E76" s="85"/>
      <c r="F76" s="5"/>
      <c r="G76" s="86"/>
      <c r="H76" s="20"/>
      <c r="I76" s="4"/>
      <c r="J76" s="4"/>
      <c r="K76" s="4" t="str">
        <f>IFERROR(INDEX(tbl_コース[正式コース名],MATCH(受診者マスタ[[#This Row],[検診コース]],tbl_コース[コース],0)),"")</f>
        <v/>
      </c>
      <c r="L76" s="4" t="str">
        <f>IF(受診者マスタ[[#This Row],[生年月日]]="","",DATEDIF(受診者マスタ[[#This Row],[生年月日]],IF(MONTH(TODAY())&gt;=4,DATE(YEAR(TODAY())+1,3,31),DATE(YEAR(TODAY()),3,31)),"Y"))</f>
        <v/>
      </c>
      <c r="M76" s="85"/>
      <c r="N76" s="85"/>
      <c r="O76" s="85"/>
    </row>
    <row r="77" spans="2:15" ht="18" customHeight="1" x14ac:dyDescent="0.55000000000000004">
      <c r="B77" s="84"/>
      <c r="C77" s="5" t="str">
        <f>受診者マスタ[[#This Row],[会社名]]&amp;"_"&amp;受診者マスタ[[#This Row],[氏名]]</f>
        <v>_</v>
      </c>
      <c r="D77" s="85"/>
      <c r="E77" s="85"/>
      <c r="F77" s="5"/>
      <c r="G77" s="86"/>
      <c r="H77" s="20"/>
      <c r="I77" s="4"/>
      <c r="J77" s="4"/>
      <c r="K77" s="4" t="str">
        <f>IFERROR(INDEX(tbl_コース[正式コース名],MATCH(受診者マスタ[[#This Row],[検診コース]],tbl_コース[コース],0)),"")</f>
        <v/>
      </c>
      <c r="L77" s="4" t="str">
        <f>IF(受診者マスタ[[#This Row],[生年月日]]="","",DATEDIF(受診者マスタ[[#This Row],[生年月日]],IF(MONTH(TODAY())&gt;=4,DATE(YEAR(TODAY())+1,3,31),DATE(YEAR(TODAY()),3,31)),"Y"))</f>
        <v/>
      </c>
      <c r="M77" s="85"/>
      <c r="N77" s="85"/>
      <c r="O77" s="85"/>
    </row>
    <row r="78" spans="2:15" ht="18" customHeight="1" x14ac:dyDescent="0.55000000000000004">
      <c r="B78" s="84"/>
      <c r="C78" s="5" t="str">
        <f>受診者マスタ[[#This Row],[会社名]]&amp;"_"&amp;受診者マスタ[[#This Row],[氏名]]</f>
        <v>_</v>
      </c>
      <c r="D78" s="85"/>
      <c r="E78" s="85"/>
      <c r="F78" s="5"/>
      <c r="G78" s="86"/>
      <c r="H78" s="20"/>
      <c r="I78" s="4"/>
      <c r="J78" s="4"/>
      <c r="K78" s="4" t="str">
        <f>IFERROR(INDEX(tbl_コース[正式コース名],MATCH(受診者マスタ[[#This Row],[検診コース]],tbl_コース[コース],0)),"")</f>
        <v/>
      </c>
      <c r="L78" s="4" t="str">
        <f>IF(受診者マスタ[[#This Row],[生年月日]]="","",DATEDIF(受診者マスタ[[#This Row],[生年月日]],IF(MONTH(TODAY())&gt;=4,DATE(YEAR(TODAY())+1,3,31),DATE(YEAR(TODAY()),3,31)),"Y"))</f>
        <v/>
      </c>
      <c r="M78" s="85"/>
      <c r="N78" s="85"/>
      <c r="O78" s="85"/>
    </row>
    <row r="79" spans="2:15" ht="18" customHeight="1" x14ac:dyDescent="0.55000000000000004">
      <c r="B79" s="84"/>
      <c r="C79" s="5" t="str">
        <f>受診者マスタ[[#This Row],[会社名]]&amp;"_"&amp;受診者マスタ[[#This Row],[氏名]]</f>
        <v>_</v>
      </c>
      <c r="D79" s="85"/>
      <c r="E79" s="85"/>
      <c r="F79" s="5"/>
      <c r="G79" s="86"/>
      <c r="H79" s="20"/>
      <c r="I79" s="4"/>
      <c r="J79" s="4"/>
      <c r="K79" s="4" t="str">
        <f>IFERROR(INDEX(tbl_コース[正式コース名],MATCH(受診者マスタ[[#This Row],[検診コース]],tbl_コース[コース],0)),"")</f>
        <v/>
      </c>
      <c r="L79" s="4" t="str">
        <f>IF(受診者マスタ[[#This Row],[生年月日]]="","",DATEDIF(受診者マスタ[[#This Row],[生年月日]],IF(MONTH(TODAY())&gt;=4,DATE(YEAR(TODAY())+1,3,31),DATE(YEAR(TODAY()),3,31)),"Y"))</f>
        <v/>
      </c>
      <c r="M79" s="85"/>
      <c r="N79" s="85"/>
      <c r="O79" s="85"/>
    </row>
    <row r="80" spans="2:15" ht="18" customHeight="1" x14ac:dyDescent="0.55000000000000004">
      <c r="B80" s="84"/>
      <c r="C80" s="5" t="str">
        <f>受診者マスタ[[#This Row],[会社名]]&amp;"_"&amp;受診者マスタ[[#This Row],[氏名]]</f>
        <v>_</v>
      </c>
      <c r="D80" s="85"/>
      <c r="E80" s="85"/>
      <c r="F80" s="5"/>
      <c r="G80" s="86"/>
      <c r="H80" s="20"/>
      <c r="I80" s="4"/>
      <c r="J80" s="4"/>
      <c r="K80" s="4" t="str">
        <f>IFERROR(INDEX(tbl_コース[正式コース名],MATCH(受診者マスタ[[#This Row],[検診コース]],tbl_コース[コース],0)),"")</f>
        <v/>
      </c>
      <c r="L80" s="4" t="str">
        <f>IF(受診者マスタ[[#This Row],[生年月日]]="","",DATEDIF(受診者マスタ[[#This Row],[生年月日]],IF(MONTH(TODAY())&gt;=4,DATE(YEAR(TODAY())+1,3,31),DATE(YEAR(TODAY()),3,31)),"Y"))</f>
        <v/>
      </c>
      <c r="M80" s="85"/>
      <c r="N80" s="85"/>
      <c r="O80" s="85"/>
    </row>
    <row r="81" spans="2:15" ht="18" customHeight="1" x14ac:dyDescent="0.55000000000000004">
      <c r="B81" s="84"/>
      <c r="C81" s="5" t="str">
        <f>受診者マスタ[[#This Row],[会社名]]&amp;"_"&amp;受診者マスタ[[#This Row],[氏名]]</f>
        <v>_</v>
      </c>
      <c r="D81" s="85"/>
      <c r="E81" s="85"/>
      <c r="F81" s="5"/>
      <c r="G81" s="86"/>
      <c r="H81" s="20"/>
      <c r="I81" s="4"/>
      <c r="J81" s="4"/>
      <c r="K81" s="4" t="str">
        <f>IFERROR(INDEX(tbl_コース[正式コース名],MATCH(受診者マスタ[[#This Row],[検診コース]],tbl_コース[コース],0)),"")</f>
        <v/>
      </c>
      <c r="L81" s="4" t="str">
        <f>IF(受診者マスタ[[#This Row],[生年月日]]="","",DATEDIF(受診者マスタ[[#This Row],[生年月日]],IF(MONTH(TODAY())&gt;=4,DATE(YEAR(TODAY())+1,3,31),DATE(YEAR(TODAY()),3,31)),"Y"))</f>
        <v/>
      </c>
      <c r="M81" s="85"/>
      <c r="N81" s="85"/>
      <c r="O81" s="85"/>
    </row>
    <row r="82" spans="2:15" ht="18" customHeight="1" x14ac:dyDescent="0.55000000000000004">
      <c r="B82" s="84"/>
      <c r="C82" s="5" t="str">
        <f>受診者マスタ[[#This Row],[会社名]]&amp;"_"&amp;受診者マスタ[[#This Row],[氏名]]</f>
        <v>_</v>
      </c>
      <c r="D82" s="85"/>
      <c r="E82" s="85"/>
      <c r="F82" s="5"/>
      <c r="G82" s="86"/>
      <c r="H82" s="20"/>
      <c r="I82" s="4"/>
      <c r="J82" s="4"/>
      <c r="K82" s="4" t="str">
        <f>IFERROR(INDEX(tbl_コース[正式コース名],MATCH(受診者マスタ[[#This Row],[検診コース]],tbl_コース[コース],0)),"")</f>
        <v/>
      </c>
      <c r="L82" s="4" t="str">
        <f>IF(受診者マスタ[[#This Row],[生年月日]]="","",DATEDIF(受診者マスタ[[#This Row],[生年月日]],IF(MONTH(TODAY())&gt;=4,DATE(YEAR(TODAY())+1,3,31),DATE(YEAR(TODAY()),3,31)),"Y"))</f>
        <v/>
      </c>
      <c r="M82" s="85"/>
      <c r="N82" s="85"/>
      <c r="O82" s="85"/>
    </row>
    <row r="83" spans="2:15" ht="18" customHeight="1" x14ac:dyDescent="0.55000000000000004">
      <c r="B83" s="84"/>
      <c r="C83" s="5" t="str">
        <f>受診者マスタ[[#This Row],[会社名]]&amp;"_"&amp;受診者マスタ[[#This Row],[氏名]]</f>
        <v>_</v>
      </c>
      <c r="D83" s="85"/>
      <c r="E83" s="85"/>
      <c r="F83" s="5"/>
      <c r="G83" s="86"/>
      <c r="H83" s="20"/>
      <c r="I83" s="4"/>
      <c r="J83" s="4"/>
      <c r="K83" s="4" t="str">
        <f>IFERROR(INDEX(tbl_コース[正式コース名],MATCH(受診者マスタ[[#This Row],[検診コース]],tbl_コース[コース],0)),"")</f>
        <v/>
      </c>
      <c r="L83" s="4" t="str">
        <f>IF(受診者マスタ[[#This Row],[生年月日]]="","",DATEDIF(受診者マスタ[[#This Row],[生年月日]],IF(MONTH(TODAY())&gt;=4,DATE(YEAR(TODAY())+1,3,31),DATE(YEAR(TODAY()),3,31)),"Y"))</f>
        <v/>
      </c>
      <c r="M83" s="85"/>
      <c r="N83" s="85"/>
      <c r="O83" s="85"/>
    </row>
    <row r="84" spans="2:15" ht="18" customHeight="1" x14ac:dyDescent="0.55000000000000004">
      <c r="B84" s="84"/>
      <c r="C84" s="5" t="str">
        <f>受診者マスタ[[#This Row],[会社名]]&amp;"_"&amp;受診者マスタ[[#This Row],[氏名]]</f>
        <v>_</v>
      </c>
      <c r="D84" s="85"/>
      <c r="E84" s="85"/>
      <c r="F84" s="5"/>
      <c r="G84" s="86"/>
      <c r="H84" s="20"/>
      <c r="I84" s="4"/>
      <c r="J84" s="4"/>
      <c r="K84" s="4" t="str">
        <f>IFERROR(INDEX(tbl_コース[正式コース名],MATCH(受診者マスタ[[#This Row],[検診コース]],tbl_コース[コース],0)),"")</f>
        <v/>
      </c>
      <c r="L84" s="4" t="str">
        <f>IF(受診者マスタ[[#This Row],[生年月日]]="","",DATEDIF(受診者マスタ[[#This Row],[生年月日]],IF(MONTH(TODAY())&gt;=4,DATE(YEAR(TODAY())+1,3,31),DATE(YEAR(TODAY()),3,31)),"Y"))</f>
        <v/>
      </c>
      <c r="M84" s="85"/>
      <c r="N84" s="85"/>
      <c r="O84" s="85"/>
    </row>
    <row r="85" spans="2:15" ht="18" customHeight="1" x14ac:dyDescent="0.55000000000000004">
      <c r="B85" s="84"/>
      <c r="C85" s="5" t="str">
        <f>受診者マスタ[[#This Row],[会社名]]&amp;"_"&amp;受診者マスタ[[#This Row],[氏名]]</f>
        <v>_</v>
      </c>
      <c r="D85" s="85"/>
      <c r="E85" s="85"/>
      <c r="F85" s="5"/>
      <c r="G85" s="86"/>
      <c r="H85" s="20"/>
      <c r="I85" s="4"/>
      <c r="J85" s="4"/>
      <c r="K85" s="4" t="str">
        <f>IFERROR(INDEX(tbl_コース[正式コース名],MATCH(受診者マスタ[[#This Row],[検診コース]],tbl_コース[コース],0)),"")</f>
        <v/>
      </c>
      <c r="L85" s="4" t="str">
        <f>IF(受診者マスタ[[#This Row],[生年月日]]="","",DATEDIF(受診者マスタ[[#This Row],[生年月日]],IF(MONTH(TODAY())&gt;=4,DATE(YEAR(TODAY())+1,3,31),DATE(YEAR(TODAY()),3,31)),"Y"))</f>
        <v/>
      </c>
      <c r="M85" s="85"/>
      <c r="N85" s="85"/>
      <c r="O85" s="85"/>
    </row>
    <row r="86" spans="2:15" ht="18" customHeight="1" x14ac:dyDescent="0.55000000000000004">
      <c r="B86" s="84"/>
      <c r="C86" s="5" t="str">
        <f>受診者マスタ[[#This Row],[会社名]]&amp;"_"&amp;受診者マスタ[[#This Row],[氏名]]</f>
        <v>_</v>
      </c>
      <c r="D86" s="85"/>
      <c r="E86" s="85"/>
      <c r="F86" s="5"/>
      <c r="G86" s="86"/>
      <c r="H86" s="20"/>
      <c r="I86" s="4"/>
      <c r="J86" s="4"/>
      <c r="K86" s="4" t="str">
        <f>IFERROR(INDEX(tbl_コース[正式コース名],MATCH(受診者マスタ[[#This Row],[検診コース]],tbl_コース[コース],0)),"")</f>
        <v/>
      </c>
      <c r="L86" s="4" t="str">
        <f>IF(受診者マスタ[[#This Row],[生年月日]]="","",DATEDIF(受診者マスタ[[#This Row],[生年月日]],IF(MONTH(TODAY())&gt;=4,DATE(YEAR(TODAY())+1,3,31),DATE(YEAR(TODAY()),3,31)),"Y"))</f>
        <v/>
      </c>
      <c r="M86" s="85"/>
      <c r="N86" s="85"/>
      <c r="O86" s="85"/>
    </row>
    <row r="87" spans="2:15" ht="18" customHeight="1" x14ac:dyDescent="0.55000000000000004">
      <c r="B87" s="84"/>
      <c r="C87" s="5" t="str">
        <f>受診者マスタ[[#This Row],[会社名]]&amp;"_"&amp;受診者マスタ[[#This Row],[氏名]]</f>
        <v>_</v>
      </c>
      <c r="D87" s="85"/>
      <c r="E87" s="85"/>
      <c r="F87" s="5"/>
      <c r="G87" s="86"/>
      <c r="H87" s="20"/>
      <c r="I87" s="4"/>
      <c r="J87" s="4"/>
      <c r="K87" s="4" t="str">
        <f>IFERROR(INDEX(tbl_コース[正式コース名],MATCH(受診者マスタ[[#This Row],[検診コース]],tbl_コース[コース],0)),"")</f>
        <v/>
      </c>
      <c r="L87" s="4" t="str">
        <f>IF(受診者マスタ[[#This Row],[生年月日]]="","",DATEDIF(受診者マスタ[[#This Row],[生年月日]],IF(MONTH(TODAY())&gt;=4,DATE(YEAR(TODAY())+1,3,31),DATE(YEAR(TODAY()),3,31)),"Y"))</f>
        <v/>
      </c>
      <c r="M87" s="85"/>
      <c r="N87" s="85"/>
      <c r="O87" s="85"/>
    </row>
    <row r="88" spans="2:15" ht="18" customHeight="1" x14ac:dyDescent="0.55000000000000004">
      <c r="B88" s="84"/>
      <c r="C88" s="5" t="str">
        <f>受診者マスタ[[#This Row],[会社名]]&amp;"_"&amp;受診者マスタ[[#This Row],[氏名]]</f>
        <v>_</v>
      </c>
      <c r="D88" s="85"/>
      <c r="E88" s="85"/>
      <c r="F88" s="5"/>
      <c r="G88" s="86"/>
      <c r="H88" s="20"/>
      <c r="I88" s="4"/>
      <c r="J88" s="4"/>
      <c r="K88" s="4" t="str">
        <f>IFERROR(INDEX(tbl_コース[正式コース名],MATCH(受診者マスタ[[#This Row],[検診コース]],tbl_コース[コース],0)),"")</f>
        <v/>
      </c>
      <c r="L88" s="4" t="str">
        <f>IF(受診者マスタ[[#This Row],[生年月日]]="","",DATEDIF(受診者マスタ[[#This Row],[生年月日]],IF(MONTH(TODAY())&gt;=4,DATE(YEAR(TODAY())+1,3,31),DATE(YEAR(TODAY()),3,31)),"Y"))</f>
        <v/>
      </c>
      <c r="M88" s="85"/>
      <c r="N88" s="85"/>
      <c r="O88" s="85"/>
    </row>
    <row r="89" spans="2:15" ht="18" customHeight="1" x14ac:dyDescent="0.55000000000000004">
      <c r="B89" s="84"/>
      <c r="C89" s="5" t="str">
        <f>受診者マスタ[[#This Row],[会社名]]&amp;"_"&amp;受診者マスタ[[#This Row],[氏名]]</f>
        <v>_</v>
      </c>
      <c r="D89" s="85"/>
      <c r="E89" s="85"/>
      <c r="F89" s="5"/>
      <c r="G89" s="86"/>
      <c r="H89" s="20"/>
      <c r="I89" s="4"/>
      <c r="J89" s="4"/>
      <c r="K89" s="4" t="str">
        <f>IFERROR(INDEX(tbl_コース[正式コース名],MATCH(受診者マスタ[[#This Row],[検診コース]],tbl_コース[コース],0)),"")</f>
        <v/>
      </c>
      <c r="L89" s="4" t="str">
        <f>IF(受診者マスタ[[#This Row],[生年月日]]="","",DATEDIF(受診者マスタ[[#This Row],[生年月日]],IF(MONTH(TODAY())&gt;=4,DATE(YEAR(TODAY())+1,3,31),DATE(YEAR(TODAY()),3,31)),"Y"))</f>
        <v/>
      </c>
      <c r="M89" s="85"/>
      <c r="N89" s="85"/>
      <c r="O89" s="85"/>
    </row>
    <row r="90" spans="2:15" ht="18" customHeight="1" x14ac:dyDescent="0.55000000000000004">
      <c r="B90" s="84"/>
      <c r="C90" s="5" t="str">
        <f>受診者マスタ[[#This Row],[会社名]]&amp;"_"&amp;受診者マスタ[[#This Row],[氏名]]</f>
        <v>_</v>
      </c>
      <c r="D90" s="85"/>
      <c r="E90" s="85"/>
      <c r="F90" s="5"/>
      <c r="G90" s="86"/>
      <c r="H90" s="20"/>
      <c r="I90" s="4"/>
      <c r="J90" s="4"/>
      <c r="K90" s="4" t="str">
        <f>IFERROR(INDEX(tbl_コース[正式コース名],MATCH(受診者マスタ[[#This Row],[検診コース]],tbl_コース[コース],0)),"")</f>
        <v/>
      </c>
      <c r="L90" s="4" t="str">
        <f>IF(受診者マスタ[[#This Row],[生年月日]]="","",DATEDIF(受診者マスタ[[#This Row],[生年月日]],IF(MONTH(TODAY())&gt;=4,DATE(YEAR(TODAY())+1,3,31),DATE(YEAR(TODAY()),3,31)),"Y"))</f>
        <v/>
      </c>
      <c r="M90" s="85"/>
      <c r="N90" s="85"/>
      <c r="O90" s="85"/>
    </row>
    <row r="91" spans="2:15" ht="18" customHeight="1" x14ac:dyDescent="0.55000000000000004">
      <c r="B91" s="84"/>
      <c r="C91" s="5" t="str">
        <f>受診者マスタ[[#This Row],[会社名]]&amp;"_"&amp;受診者マスタ[[#This Row],[氏名]]</f>
        <v>_</v>
      </c>
      <c r="D91" s="85"/>
      <c r="E91" s="85"/>
      <c r="F91" s="5"/>
      <c r="G91" s="86"/>
      <c r="H91" s="20"/>
      <c r="I91" s="4"/>
      <c r="J91" s="4"/>
      <c r="K91" s="4" t="str">
        <f>IFERROR(INDEX(tbl_コース[正式コース名],MATCH(受診者マスタ[[#This Row],[検診コース]],tbl_コース[コース],0)),"")</f>
        <v/>
      </c>
      <c r="L91" s="4" t="str">
        <f>IF(受診者マスタ[[#This Row],[生年月日]]="","",DATEDIF(受診者マスタ[[#This Row],[生年月日]],IF(MONTH(TODAY())&gt;=4,DATE(YEAR(TODAY())+1,3,31),DATE(YEAR(TODAY()),3,31)),"Y"))</f>
        <v/>
      </c>
      <c r="M91" s="85"/>
      <c r="N91" s="85"/>
      <c r="O91" s="85"/>
    </row>
    <row r="92" spans="2:15" ht="18" customHeight="1" x14ac:dyDescent="0.55000000000000004">
      <c r="B92" s="84"/>
      <c r="C92" s="5" t="str">
        <f>受診者マスタ[[#This Row],[会社名]]&amp;"_"&amp;受診者マスタ[[#This Row],[氏名]]</f>
        <v>_</v>
      </c>
      <c r="D92" s="85"/>
      <c r="E92" s="85"/>
      <c r="F92" s="5"/>
      <c r="G92" s="86"/>
      <c r="H92" s="20"/>
      <c r="I92" s="4"/>
      <c r="J92" s="4"/>
      <c r="K92" s="4" t="str">
        <f>IFERROR(INDEX(tbl_コース[正式コース名],MATCH(受診者マスタ[[#This Row],[検診コース]],tbl_コース[コース],0)),"")</f>
        <v/>
      </c>
      <c r="L92" s="4" t="str">
        <f>IF(受診者マスタ[[#This Row],[生年月日]]="","",DATEDIF(受診者マスタ[[#This Row],[生年月日]],IF(MONTH(TODAY())&gt;=4,DATE(YEAR(TODAY())+1,3,31),DATE(YEAR(TODAY()),3,31)),"Y"))</f>
        <v/>
      </c>
      <c r="M92" s="85"/>
      <c r="N92" s="85"/>
      <c r="O92" s="85"/>
    </row>
    <row r="93" spans="2:15" ht="18" customHeight="1" x14ac:dyDescent="0.55000000000000004">
      <c r="B93" s="84"/>
      <c r="C93" s="5" t="str">
        <f>受診者マスタ[[#This Row],[会社名]]&amp;"_"&amp;受診者マスタ[[#This Row],[氏名]]</f>
        <v>_</v>
      </c>
      <c r="D93" s="85"/>
      <c r="E93" s="85"/>
      <c r="F93" s="5"/>
      <c r="G93" s="86"/>
      <c r="H93" s="20"/>
      <c r="I93" s="4"/>
      <c r="J93" s="4"/>
      <c r="K93" s="4" t="str">
        <f>IFERROR(INDEX(tbl_コース[正式コース名],MATCH(受診者マスタ[[#This Row],[検診コース]],tbl_コース[コース],0)),"")</f>
        <v/>
      </c>
      <c r="L93" s="4" t="str">
        <f>IF(受診者マスタ[[#This Row],[生年月日]]="","",DATEDIF(受診者マスタ[[#This Row],[生年月日]],IF(MONTH(TODAY())&gt;=4,DATE(YEAR(TODAY())+1,3,31),DATE(YEAR(TODAY()),3,31)),"Y"))</f>
        <v/>
      </c>
      <c r="M93" s="85"/>
      <c r="N93" s="85"/>
      <c r="O93" s="85"/>
    </row>
    <row r="94" spans="2:15" ht="18" customHeight="1" x14ac:dyDescent="0.55000000000000004">
      <c r="B94" s="84"/>
      <c r="C94" s="5" t="str">
        <f>受診者マスタ[[#This Row],[会社名]]&amp;"_"&amp;受診者マスタ[[#This Row],[氏名]]</f>
        <v>_</v>
      </c>
      <c r="D94" s="85"/>
      <c r="E94" s="85"/>
      <c r="F94" s="5"/>
      <c r="G94" s="86"/>
      <c r="H94" s="20"/>
      <c r="I94" s="4"/>
      <c r="J94" s="4"/>
      <c r="K94" s="4" t="str">
        <f>IFERROR(INDEX(tbl_コース[正式コース名],MATCH(受診者マスタ[[#This Row],[検診コース]],tbl_コース[コース],0)),"")</f>
        <v/>
      </c>
      <c r="L94" s="4" t="str">
        <f>IF(受診者マスタ[[#This Row],[生年月日]]="","",DATEDIF(受診者マスタ[[#This Row],[生年月日]],IF(MONTH(TODAY())&gt;=4,DATE(YEAR(TODAY())+1,3,31),DATE(YEAR(TODAY()),3,31)),"Y"))</f>
        <v/>
      </c>
      <c r="M94" s="85"/>
      <c r="N94" s="85"/>
      <c r="O94" s="85"/>
    </row>
    <row r="95" spans="2:15" ht="18" customHeight="1" x14ac:dyDescent="0.55000000000000004">
      <c r="B95" s="84"/>
      <c r="C95" s="5" t="str">
        <f>受診者マスタ[[#This Row],[会社名]]&amp;"_"&amp;受診者マスタ[[#This Row],[氏名]]</f>
        <v>_</v>
      </c>
      <c r="D95" s="85"/>
      <c r="E95" s="85"/>
      <c r="F95" s="5"/>
      <c r="G95" s="86"/>
      <c r="H95" s="20"/>
      <c r="I95" s="4"/>
      <c r="J95" s="4"/>
      <c r="K95" s="4" t="str">
        <f>IFERROR(INDEX(tbl_コース[正式コース名],MATCH(受診者マスタ[[#This Row],[検診コース]],tbl_コース[コース],0)),"")</f>
        <v/>
      </c>
      <c r="L95" s="4" t="str">
        <f>IF(受診者マスタ[[#This Row],[生年月日]]="","",DATEDIF(受診者マスタ[[#This Row],[生年月日]],IF(MONTH(TODAY())&gt;=4,DATE(YEAR(TODAY())+1,3,31),DATE(YEAR(TODAY()),3,31)),"Y"))</f>
        <v/>
      </c>
      <c r="M95" s="85"/>
      <c r="N95" s="85"/>
      <c r="O95" s="85"/>
    </row>
    <row r="96" spans="2:15" ht="18" customHeight="1" x14ac:dyDescent="0.55000000000000004">
      <c r="B96" s="84"/>
      <c r="C96" s="5" t="str">
        <f>受診者マスタ[[#This Row],[会社名]]&amp;"_"&amp;受診者マスタ[[#This Row],[氏名]]</f>
        <v>_</v>
      </c>
      <c r="D96" s="85"/>
      <c r="E96" s="85"/>
      <c r="F96" s="5"/>
      <c r="G96" s="86"/>
      <c r="H96" s="20"/>
      <c r="I96" s="4"/>
      <c r="J96" s="4"/>
      <c r="K96" s="4" t="str">
        <f>IFERROR(INDEX(tbl_コース[正式コース名],MATCH(受診者マスタ[[#This Row],[検診コース]],tbl_コース[コース],0)),"")</f>
        <v/>
      </c>
      <c r="L96" s="4" t="str">
        <f>IF(受診者マスタ[[#This Row],[生年月日]]="","",DATEDIF(受診者マスタ[[#This Row],[生年月日]],IF(MONTH(TODAY())&gt;=4,DATE(YEAR(TODAY())+1,3,31),DATE(YEAR(TODAY()),3,31)),"Y"))</f>
        <v/>
      </c>
      <c r="M96" s="85"/>
      <c r="N96" s="85"/>
      <c r="O96" s="85"/>
    </row>
    <row r="97" spans="2:15" ht="18" customHeight="1" x14ac:dyDescent="0.55000000000000004">
      <c r="B97" s="84"/>
      <c r="C97" s="5" t="str">
        <f>受診者マスタ[[#This Row],[会社名]]&amp;"_"&amp;受診者マスタ[[#This Row],[氏名]]</f>
        <v>_</v>
      </c>
      <c r="D97" s="85"/>
      <c r="E97" s="85"/>
      <c r="F97" s="5"/>
      <c r="G97" s="86"/>
      <c r="H97" s="20"/>
      <c r="I97" s="4"/>
      <c r="J97" s="4"/>
      <c r="K97" s="4" t="str">
        <f>IFERROR(INDEX(tbl_コース[正式コース名],MATCH(受診者マスタ[[#This Row],[検診コース]],tbl_コース[コース],0)),"")</f>
        <v/>
      </c>
      <c r="L97" s="4" t="str">
        <f>IF(受診者マスタ[[#This Row],[生年月日]]="","",DATEDIF(受診者マスタ[[#This Row],[生年月日]],IF(MONTH(TODAY())&gt;=4,DATE(YEAR(TODAY())+1,3,31),DATE(YEAR(TODAY()),3,31)),"Y"))</f>
        <v/>
      </c>
      <c r="M97" s="85"/>
      <c r="N97" s="85"/>
      <c r="O97" s="85"/>
    </row>
    <row r="98" spans="2:15" ht="18" customHeight="1" x14ac:dyDescent="0.55000000000000004">
      <c r="B98" s="84"/>
      <c r="C98" s="5" t="str">
        <f>受診者マスタ[[#This Row],[会社名]]&amp;"_"&amp;受診者マスタ[[#This Row],[氏名]]</f>
        <v>_</v>
      </c>
      <c r="D98" s="85"/>
      <c r="E98" s="85"/>
      <c r="F98" s="5"/>
      <c r="G98" s="86"/>
      <c r="H98" s="20"/>
      <c r="I98" s="4"/>
      <c r="J98" s="4"/>
      <c r="K98" s="4" t="str">
        <f>IFERROR(INDEX(tbl_コース[正式コース名],MATCH(受診者マスタ[[#This Row],[検診コース]],tbl_コース[コース],0)),"")</f>
        <v/>
      </c>
      <c r="L98" s="4" t="str">
        <f>IF(受診者マスタ[[#This Row],[生年月日]]="","",DATEDIF(受診者マスタ[[#This Row],[生年月日]],IF(MONTH(TODAY())&gt;=4,DATE(YEAR(TODAY())+1,3,31),DATE(YEAR(TODAY()),3,31)),"Y"))</f>
        <v/>
      </c>
      <c r="M98" s="85"/>
      <c r="N98" s="85"/>
      <c r="O98" s="85"/>
    </row>
    <row r="99" spans="2:15" ht="18" customHeight="1" x14ac:dyDescent="0.55000000000000004">
      <c r="B99" s="84"/>
      <c r="C99" s="5" t="str">
        <f>受診者マスタ[[#This Row],[会社名]]&amp;"_"&amp;受診者マスタ[[#This Row],[氏名]]</f>
        <v>_</v>
      </c>
      <c r="D99" s="85"/>
      <c r="E99" s="85"/>
      <c r="F99" s="5"/>
      <c r="G99" s="86"/>
      <c r="H99" s="20"/>
      <c r="I99" s="4"/>
      <c r="J99" s="4"/>
      <c r="K99" s="4" t="str">
        <f>IFERROR(INDEX(tbl_コース[正式コース名],MATCH(受診者マスタ[[#This Row],[検診コース]],tbl_コース[コース],0)),"")</f>
        <v/>
      </c>
      <c r="L99" s="4" t="str">
        <f>IF(受診者マスタ[[#This Row],[生年月日]]="","",DATEDIF(受診者マスタ[[#This Row],[生年月日]],IF(MONTH(TODAY())&gt;=4,DATE(YEAR(TODAY())+1,3,31),DATE(YEAR(TODAY()),3,31)),"Y"))</f>
        <v/>
      </c>
      <c r="M99" s="85"/>
      <c r="N99" s="85"/>
      <c r="O99" s="85"/>
    </row>
    <row r="100" spans="2:15" ht="18" customHeight="1" x14ac:dyDescent="0.55000000000000004">
      <c r="B100" s="84"/>
      <c r="C100" s="5" t="str">
        <f>受診者マスタ[[#This Row],[会社名]]&amp;"_"&amp;受診者マスタ[[#This Row],[氏名]]</f>
        <v>_</v>
      </c>
      <c r="D100" s="85"/>
      <c r="E100" s="85"/>
      <c r="F100" s="5"/>
      <c r="G100" s="86"/>
      <c r="H100" s="20"/>
      <c r="I100" s="4"/>
      <c r="J100" s="4"/>
      <c r="K100" s="4" t="str">
        <f>IFERROR(INDEX(tbl_コース[正式コース名],MATCH(受診者マスタ[[#This Row],[検診コース]],tbl_コース[コース],0)),"")</f>
        <v/>
      </c>
      <c r="L100" s="4" t="str">
        <f>IF(受診者マスタ[[#This Row],[生年月日]]="","",DATEDIF(受診者マスタ[[#This Row],[生年月日]],IF(MONTH(TODAY())&gt;=4,DATE(YEAR(TODAY())+1,3,31),DATE(YEAR(TODAY()),3,31)),"Y"))</f>
        <v/>
      </c>
      <c r="M100" s="85"/>
      <c r="N100" s="85"/>
      <c r="O100" s="85"/>
    </row>
    <row r="101" spans="2:15" ht="18" customHeight="1" x14ac:dyDescent="0.55000000000000004">
      <c r="B101" s="84"/>
      <c r="C101" s="5" t="str">
        <f>受診者マスタ[[#This Row],[会社名]]&amp;"_"&amp;受診者マスタ[[#This Row],[氏名]]</f>
        <v>_</v>
      </c>
      <c r="D101" s="85"/>
      <c r="E101" s="85"/>
      <c r="F101" s="5"/>
      <c r="G101" s="86"/>
      <c r="H101" s="20"/>
      <c r="I101" s="4"/>
      <c r="J101" s="4"/>
      <c r="K101" s="4" t="str">
        <f>IFERROR(INDEX(tbl_コース[正式コース名],MATCH(受診者マスタ[[#This Row],[検診コース]],tbl_コース[コース],0)),"")</f>
        <v/>
      </c>
      <c r="L101" s="4" t="str">
        <f>IF(受診者マスタ[[#This Row],[生年月日]]="","",DATEDIF(受診者マスタ[[#This Row],[生年月日]],IF(MONTH(TODAY())&gt;=4,DATE(YEAR(TODAY())+1,3,31),DATE(YEAR(TODAY()),3,31)),"Y"))</f>
        <v/>
      </c>
      <c r="M101" s="85"/>
      <c r="N101" s="85"/>
      <c r="O101" s="85"/>
    </row>
    <row r="102" spans="2:15" ht="18" customHeight="1" x14ac:dyDescent="0.55000000000000004">
      <c r="B102" s="84"/>
      <c r="C102" s="5" t="str">
        <f>受診者マスタ[[#This Row],[会社名]]&amp;"_"&amp;受診者マスタ[[#This Row],[氏名]]</f>
        <v>_</v>
      </c>
      <c r="D102" s="85"/>
      <c r="E102" s="85"/>
      <c r="F102" s="5"/>
      <c r="G102" s="86"/>
      <c r="H102" s="20"/>
      <c r="I102" s="4"/>
      <c r="J102" s="4"/>
      <c r="K102" s="4" t="str">
        <f>IFERROR(INDEX(tbl_コース[正式コース名],MATCH(受診者マスタ[[#This Row],[検診コース]],tbl_コース[コース],0)),"")</f>
        <v/>
      </c>
      <c r="L102" s="4" t="str">
        <f>IF(受診者マスタ[[#This Row],[生年月日]]="","",DATEDIF(受診者マスタ[[#This Row],[生年月日]],IF(MONTH(TODAY())&gt;=4,DATE(YEAR(TODAY())+1,3,31),DATE(YEAR(TODAY()),3,31)),"Y"))</f>
        <v/>
      </c>
      <c r="M102" s="85"/>
      <c r="N102" s="85"/>
      <c r="O102" s="85"/>
    </row>
    <row r="103" spans="2:15" ht="18" customHeight="1" x14ac:dyDescent="0.55000000000000004">
      <c r="B103" s="84"/>
      <c r="C103" s="5" t="str">
        <f>受診者マスタ[[#This Row],[会社名]]&amp;"_"&amp;受診者マスタ[[#This Row],[氏名]]</f>
        <v>_</v>
      </c>
      <c r="D103" s="85"/>
      <c r="E103" s="85"/>
      <c r="F103" s="5"/>
      <c r="G103" s="86"/>
      <c r="H103" s="20"/>
      <c r="I103" s="4"/>
      <c r="J103" s="4"/>
      <c r="K103" s="4" t="str">
        <f>IFERROR(INDEX(tbl_コース[正式コース名],MATCH(受診者マスタ[[#This Row],[検診コース]],tbl_コース[コース],0)),"")</f>
        <v/>
      </c>
      <c r="L103" s="4" t="str">
        <f>IF(受診者マスタ[[#This Row],[生年月日]]="","",DATEDIF(受診者マスタ[[#This Row],[生年月日]],IF(MONTH(TODAY())&gt;=4,DATE(YEAR(TODAY())+1,3,31),DATE(YEAR(TODAY()),3,31)),"Y"))</f>
        <v/>
      </c>
      <c r="M103" s="85"/>
      <c r="N103" s="85"/>
      <c r="O103" s="85"/>
    </row>
    <row r="104" spans="2:15" ht="18" customHeight="1" x14ac:dyDescent="0.55000000000000004">
      <c r="B104" s="84"/>
      <c r="C104" s="5" t="str">
        <f>受診者マスタ[[#This Row],[会社名]]&amp;"_"&amp;受診者マスタ[[#This Row],[氏名]]</f>
        <v>_</v>
      </c>
      <c r="D104" s="85"/>
      <c r="E104" s="85"/>
      <c r="F104" s="5"/>
      <c r="G104" s="86"/>
      <c r="H104" s="20"/>
      <c r="I104" s="4"/>
      <c r="J104" s="4"/>
      <c r="K104" s="4" t="str">
        <f>IFERROR(INDEX(tbl_コース[正式コース名],MATCH(受診者マスタ[[#This Row],[検診コース]],tbl_コース[コース],0)),"")</f>
        <v/>
      </c>
      <c r="L104" s="4" t="str">
        <f>IF(受診者マスタ[[#This Row],[生年月日]]="","",DATEDIF(受診者マスタ[[#This Row],[生年月日]],IF(MONTH(TODAY())&gt;=4,DATE(YEAR(TODAY())+1,3,31),DATE(YEAR(TODAY()),3,31)),"Y"))</f>
        <v/>
      </c>
      <c r="M104" s="85"/>
      <c r="N104" s="85"/>
      <c r="O104" s="85"/>
    </row>
    <row r="105" spans="2:15" ht="18" customHeight="1" x14ac:dyDescent="0.55000000000000004">
      <c r="B105" s="84"/>
      <c r="C105" s="5" t="str">
        <f>受診者マスタ[[#This Row],[会社名]]&amp;"_"&amp;受診者マスタ[[#This Row],[氏名]]</f>
        <v>_</v>
      </c>
      <c r="D105" s="85"/>
      <c r="E105" s="85"/>
      <c r="F105" s="5"/>
      <c r="G105" s="86"/>
      <c r="H105" s="20"/>
      <c r="I105" s="4"/>
      <c r="J105" s="4"/>
      <c r="K105" s="4" t="str">
        <f>IFERROR(INDEX(tbl_コース[正式コース名],MATCH(受診者マスタ[[#This Row],[検診コース]],tbl_コース[コース],0)),"")</f>
        <v/>
      </c>
      <c r="L105" s="4" t="str">
        <f>IF(受診者マスタ[[#This Row],[生年月日]]="","",DATEDIF(受診者マスタ[[#This Row],[生年月日]],IF(MONTH(TODAY())&gt;=4,DATE(YEAR(TODAY())+1,3,31),DATE(YEAR(TODAY()),3,31)),"Y"))</f>
        <v/>
      </c>
      <c r="M105" s="85"/>
      <c r="N105" s="85"/>
      <c r="O105" s="85"/>
    </row>
    <row r="106" spans="2:15" ht="18" customHeight="1" x14ac:dyDescent="0.55000000000000004">
      <c r="B106" s="84"/>
      <c r="C106" s="5" t="str">
        <f>受診者マスタ[[#This Row],[会社名]]&amp;"_"&amp;受診者マスタ[[#This Row],[氏名]]</f>
        <v>_</v>
      </c>
      <c r="D106" s="85"/>
      <c r="E106" s="85"/>
      <c r="F106" s="5"/>
      <c r="G106" s="86"/>
      <c r="H106" s="20"/>
      <c r="I106" s="4"/>
      <c r="J106" s="4"/>
      <c r="K106" s="4" t="str">
        <f>IFERROR(INDEX(tbl_コース[正式コース名],MATCH(受診者マスタ[[#This Row],[検診コース]],tbl_コース[コース],0)),"")</f>
        <v/>
      </c>
      <c r="L106" s="4" t="str">
        <f>IF(受診者マスタ[[#This Row],[生年月日]]="","",DATEDIF(受診者マスタ[[#This Row],[生年月日]],IF(MONTH(TODAY())&gt;=4,DATE(YEAR(TODAY())+1,3,31),DATE(YEAR(TODAY()),3,31)),"Y"))</f>
        <v/>
      </c>
      <c r="M106" s="85"/>
      <c r="N106" s="85"/>
      <c r="O106" s="85"/>
    </row>
    <row r="107" spans="2:15" ht="18" customHeight="1" x14ac:dyDescent="0.55000000000000004">
      <c r="B107" s="84"/>
      <c r="C107" s="5" t="str">
        <f>受診者マスタ[[#This Row],[会社名]]&amp;"_"&amp;受診者マスタ[[#This Row],[氏名]]</f>
        <v>_</v>
      </c>
      <c r="D107" s="85"/>
      <c r="E107" s="85"/>
      <c r="F107" s="5"/>
      <c r="G107" s="86"/>
      <c r="H107" s="20"/>
      <c r="I107" s="4"/>
      <c r="J107" s="4"/>
      <c r="K107" s="4" t="str">
        <f>IFERROR(INDEX(tbl_コース[正式コース名],MATCH(受診者マスタ[[#This Row],[検診コース]],tbl_コース[コース],0)),"")</f>
        <v/>
      </c>
      <c r="L107" s="4" t="str">
        <f>IF(受診者マスタ[[#This Row],[生年月日]]="","",DATEDIF(受診者マスタ[[#This Row],[生年月日]],IF(MONTH(TODAY())&gt;=4,DATE(YEAR(TODAY())+1,3,31),DATE(YEAR(TODAY()),3,31)),"Y"))</f>
        <v/>
      </c>
      <c r="M107" s="85"/>
      <c r="N107" s="85"/>
      <c r="O107" s="85"/>
    </row>
    <row r="108" spans="2:15" ht="18" customHeight="1" x14ac:dyDescent="0.55000000000000004">
      <c r="B108" s="84"/>
      <c r="C108" s="5" t="str">
        <f>受診者マスタ[[#This Row],[会社名]]&amp;"_"&amp;受診者マスタ[[#This Row],[氏名]]</f>
        <v>_</v>
      </c>
      <c r="D108" s="85"/>
      <c r="E108" s="85"/>
      <c r="F108" s="5"/>
      <c r="G108" s="86"/>
      <c r="H108" s="20"/>
      <c r="I108" s="4"/>
      <c r="J108" s="4"/>
      <c r="K108" s="4" t="str">
        <f>IFERROR(INDEX(tbl_コース[正式コース名],MATCH(受診者マスタ[[#This Row],[検診コース]],tbl_コース[コース],0)),"")</f>
        <v/>
      </c>
      <c r="L108" s="4" t="str">
        <f>IF(受診者マスタ[[#This Row],[生年月日]]="","",DATEDIF(受診者マスタ[[#This Row],[生年月日]],IF(MONTH(TODAY())&gt;=4,DATE(YEAR(TODAY())+1,3,31),DATE(YEAR(TODAY()),3,31)),"Y"))</f>
        <v/>
      </c>
      <c r="M108" s="85"/>
      <c r="N108" s="85"/>
      <c r="O108" s="85"/>
    </row>
    <row r="109" spans="2:15" ht="18" customHeight="1" x14ac:dyDescent="0.55000000000000004">
      <c r="B109" s="84"/>
      <c r="C109" s="5" t="str">
        <f>受診者マスタ[[#This Row],[会社名]]&amp;"_"&amp;受診者マスタ[[#This Row],[氏名]]</f>
        <v>_</v>
      </c>
      <c r="D109" s="85"/>
      <c r="E109" s="85"/>
      <c r="F109" s="5"/>
      <c r="G109" s="86"/>
      <c r="H109" s="20"/>
      <c r="I109" s="4"/>
      <c r="J109" s="4"/>
      <c r="K109" s="4" t="str">
        <f>IFERROR(INDEX(tbl_コース[正式コース名],MATCH(受診者マスタ[[#This Row],[検診コース]],tbl_コース[コース],0)),"")</f>
        <v/>
      </c>
      <c r="L109" s="4" t="str">
        <f>IF(受診者マスタ[[#This Row],[生年月日]]="","",DATEDIF(受診者マスタ[[#This Row],[生年月日]],IF(MONTH(TODAY())&gt;=4,DATE(YEAR(TODAY())+1,3,31),DATE(YEAR(TODAY()),3,31)),"Y"))</f>
        <v/>
      </c>
      <c r="M109" s="85"/>
      <c r="N109" s="85"/>
      <c r="O109" s="85"/>
    </row>
    <row r="110" spans="2:15" ht="18" customHeight="1" x14ac:dyDescent="0.55000000000000004">
      <c r="B110" s="84"/>
      <c r="C110" s="5" t="str">
        <f>受診者マスタ[[#This Row],[会社名]]&amp;"_"&amp;受診者マスタ[[#This Row],[氏名]]</f>
        <v>_</v>
      </c>
      <c r="D110" s="85"/>
      <c r="E110" s="85"/>
      <c r="F110" s="5"/>
      <c r="G110" s="86"/>
      <c r="H110" s="20"/>
      <c r="I110" s="4"/>
      <c r="J110" s="4"/>
      <c r="K110" s="4" t="str">
        <f>IFERROR(INDEX(tbl_コース[正式コース名],MATCH(受診者マスタ[[#This Row],[検診コース]],tbl_コース[コース],0)),"")</f>
        <v/>
      </c>
      <c r="L110" s="4" t="str">
        <f>IF(受診者マスタ[[#This Row],[生年月日]]="","",DATEDIF(受診者マスタ[[#This Row],[生年月日]],IF(MONTH(TODAY())&gt;=4,DATE(YEAR(TODAY())+1,3,31),DATE(YEAR(TODAY()),3,31)),"Y"))</f>
        <v/>
      </c>
      <c r="M110" s="85"/>
      <c r="N110" s="85"/>
      <c r="O110" s="85"/>
    </row>
    <row r="111" spans="2:15" ht="18" customHeight="1" x14ac:dyDescent="0.55000000000000004">
      <c r="B111" s="84"/>
      <c r="C111" s="5" t="str">
        <f>受診者マスタ[[#This Row],[会社名]]&amp;"_"&amp;受診者マスタ[[#This Row],[氏名]]</f>
        <v>_</v>
      </c>
      <c r="D111" s="85"/>
      <c r="E111" s="85"/>
      <c r="F111" s="5"/>
      <c r="G111" s="86"/>
      <c r="H111" s="20"/>
      <c r="I111" s="4"/>
      <c r="J111" s="4"/>
      <c r="K111" s="4" t="str">
        <f>IFERROR(INDEX(tbl_コース[正式コース名],MATCH(受診者マスタ[[#This Row],[検診コース]],tbl_コース[コース],0)),"")</f>
        <v/>
      </c>
      <c r="L111" s="4" t="str">
        <f>IF(受診者マスタ[[#This Row],[生年月日]]="","",DATEDIF(受診者マスタ[[#This Row],[生年月日]],IF(MONTH(TODAY())&gt;=4,DATE(YEAR(TODAY())+1,3,31),DATE(YEAR(TODAY()),3,31)),"Y"))</f>
        <v/>
      </c>
      <c r="M111" s="85"/>
      <c r="N111" s="85"/>
      <c r="O111" s="85"/>
    </row>
    <row r="112" spans="2:15" ht="18" customHeight="1" x14ac:dyDescent="0.55000000000000004">
      <c r="B112" s="84"/>
      <c r="C112" s="5" t="str">
        <f>受診者マスタ[[#This Row],[会社名]]&amp;"_"&amp;受診者マスタ[[#This Row],[氏名]]</f>
        <v>_</v>
      </c>
      <c r="D112" s="85"/>
      <c r="E112" s="85"/>
      <c r="F112" s="5"/>
      <c r="G112" s="86"/>
      <c r="H112" s="20"/>
      <c r="I112" s="4"/>
      <c r="J112" s="4"/>
      <c r="K112" s="4" t="str">
        <f>IFERROR(INDEX(tbl_コース[正式コース名],MATCH(受診者マスタ[[#This Row],[検診コース]],tbl_コース[コース],0)),"")</f>
        <v/>
      </c>
      <c r="L112" s="4" t="str">
        <f>IF(受診者マスタ[[#This Row],[生年月日]]="","",DATEDIF(受診者マスタ[[#This Row],[生年月日]],IF(MONTH(TODAY())&gt;=4,DATE(YEAR(TODAY())+1,3,31),DATE(YEAR(TODAY()),3,31)),"Y"))</f>
        <v/>
      </c>
      <c r="M112" s="85"/>
      <c r="N112" s="85"/>
      <c r="O112" s="85"/>
    </row>
    <row r="113" spans="2:15" ht="18" customHeight="1" x14ac:dyDescent="0.55000000000000004">
      <c r="B113" s="84"/>
      <c r="C113" s="5" t="str">
        <f>受診者マスタ[[#This Row],[会社名]]&amp;"_"&amp;受診者マスタ[[#This Row],[氏名]]</f>
        <v>_</v>
      </c>
      <c r="D113" s="85"/>
      <c r="E113" s="85"/>
      <c r="F113" s="5"/>
      <c r="G113" s="86"/>
      <c r="H113" s="20"/>
      <c r="I113" s="4"/>
      <c r="J113" s="4"/>
      <c r="K113" s="4" t="str">
        <f>IFERROR(INDEX(tbl_コース[正式コース名],MATCH(受診者マスタ[[#This Row],[検診コース]],tbl_コース[コース],0)),"")</f>
        <v/>
      </c>
      <c r="L113" s="4" t="str">
        <f>IF(受診者マスタ[[#This Row],[生年月日]]="","",DATEDIF(受診者マスタ[[#This Row],[生年月日]],IF(MONTH(TODAY())&gt;=4,DATE(YEAR(TODAY())+1,3,31),DATE(YEAR(TODAY()),3,31)),"Y"))</f>
        <v/>
      </c>
      <c r="M113" s="85"/>
      <c r="N113" s="85"/>
      <c r="O113" s="85"/>
    </row>
    <row r="114" spans="2:15" ht="18" customHeight="1" x14ac:dyDescent="0.55000000000000004">
      <c r="B114" s="84"/>
      <c r="C114" s="5" t="str">
        <f>受診者マスタ[[#This Row],[会社名]]&amp;"_"&amp;受診者マスタ[[#This Row],[氏名]]</f>
        <v>_</v>
      </c>
      <c r="D114" s="85"/>
      <c r="E114" s="85"/>
      <c r="F114" s="5"/>
      <c r="G114" s="86"/>
      <c r="H114" s="20"/>
      <c r="I114" s="4"/>
      <c r="J114" s="4"/>
      <c r="K114" s="4" t="str">
        <f>IFERROR(INDEX(tbl_コース[正式コース名],MATCH(受診者マスタ[[#This Row],[検診コース]],tbl_コース[コース],0)),"")</f>
        <v/>
      </c>
      <c r="L114" s="4" t="str">
        <f>IF(受診者マスタ[[#This Row],[生年月日]]="","",DATEDIF(受診者マスタ[[#This Row],[生年月日]],IF(MONTH(TODAY())&gt;=4,DATE(YEAR(TODAY())+1,3,31),DATE(YEAR(TODAY()),3,31)),"Y"))</f>
        <v/>
      </c>
      <c r="M114" s="85"/>
      <c r="N114" s="85"/>
      <c r="O114" s="85"/>
    </row>
    <row r="115" spans="2:15" ht="18" customHeight="1" x14ac:dyDescent="0.55000000000000004">
      <c r="B115" s="84"/>
      <c r="C115" s="5" t="str">
        <f>受診者マスタ[[#This Row],[会社名]]&amp;"_"&amp;受診者マスタ[[#This Row],[氏名]]</f>
        <v>_</v>
      </c>
      <c r="D115" s="85"/>
      <c r="E115" s="85"/>
      <c r="F115" s="5"/>
      <c r="G115" s="86"/>
      <c r="H115" s="20"/>
      <c r="I115" s="4"/>
      <c r="J115" s="4"/>
      <c r="K115" s="4" t="str">
        <f>IFERROR(INDEX(tbl_コース[正式コース名],MATCH(受診者マスタ[[#This Row],[検診コース]],tbl_コース[コース],0)),"")</f>
        <v/>
      </c>
      <c r="L115" s="4" t="str">
        <f>IF(受診者マスタ[[#This Row],[生年月日]]="","",DATEDIF(受診者マスタ[[#This Row],[生年月日]],IF(MONTH(TODAY())&gt;=4,DATE(YEAR(TODAY())+1,3,31),DATE(YEAR(TODAY()),3,31)),"Y"))</f>
        <v/>
      </c>
      <c r="M115" s="85"/>
      <c r="N115" s="85"/>
      <c r="O115" s="85"/>
    </row>
    <row r="116" spans="2:15" ht="18" customHeight="1" x14ac:dyDescent="0.55000000000000004">
      <c r="B116" s="84"/>
      <c r="C116" s="5" t="str">
        <f>受診者マスタ[[#This Row],[会社名]]&amp;"_"&amp;受診者マスタ[[#This Row],[氏名]]</f>
        <v>_</v>
      </c>
      <c r="D116" s="85"/>
      <c r="E116" s="85"/>
      <c r="F116" s="5"/>
      <c r="G116" s="86"/>
      <c r="H116" s="20"/>
      <c r="I116" s="4"/>
      <c r="J116" s="4"/>
      <c r="K116" s="4" t="str">
        <f>IFERROR(INDEX(tbl_コース[正式コース名],MATCH(受診者マスタ[[#This Row],[検診コース]],tbl_コース[コース],0)),"")</f>
        <v/>
      </c>
      <c r="L116" s="4" t="str">
        <f>IF(受診者マスタ[[#This Row],[生年月日]]="","",DATEDIF(受診者マスタ[[#This Row],[生年月日]],IF(MONTH(TODAY())&gt;=4,DATE(YEAR(TODAY())+1,3,31),DATE(YEAR(TODAY()),3,31)),"Y"))</f>
        <v/>
      </c>
      <c r="M116" s="85"/>
      <c r="N116" s="85"/>
      <c r="O116" s="85"/>
    </row>
    <row r="117" spans="2:15" ht="18" customHeight="1" x14ac:dyDescent="0.55000000000000004">
      <c r="B117" s="84"/>
      <c r="C117" s="5" t="str">
        <f>受診者マスタ[[#This Row],[会社名]]&amp;"_"&amp;受診者マスタ[[#This Row],[氏名]]</f>
        <v>_</v>
      </c>
      <c r="D117" s="85"/>
      <c r="E117" s="85"/>
      <c r="F117" s="5"/>
      <c r="G117" s="86"/>
      <c r="H117" s="20"/>
      <c r="I117" s="4"/>
      <c r="J117" s="4"/>
      <c r="K117" s="4" t="str">
        <f>IFERROR(INDEX(tbl_コース[正式コース名],MATCH(受診者マスタ[[#This Row],[検診コース]],tbl_コース[コース],0)),"")</f>
        <v/>
      </c>
      <c r="L117" s="4" t="str">
        <f>IF(受診者マスタ[[#This Row],[生年月日]]="","",DATEDIF(受診者マスタ[[#This Row],[生年月日]],IF(MONTH(TODAY())&gt;=4,DATE(YEAR(TODAY())+1,3,31),DATE(YEAR(TODAY()),3,31)),"Y"))</f>
        <v/>
      </c>
      <c r="M117" s="85"/>
      <c r="N117" s="85"/>
      <c r="O117" s="85"/>
    </row>
    <row r="118" spans="2:15" ht="18" customHeight="1" x14ac:dyDescent="0.55000000000000004">
      <c r="B118" s="84"/>
      <c r="C118" s="5" t="str">
        <f>受診者マスタ[[#This Row],[会社名]]&amp;"_"&amp;受診者マスタ[[#This Row],[氏名]]</f>
        <v>_</v>
      </c>
      <c r="D118" s="85"/>
      <c r="E118" s="85"/>
      <c r="F118" s="5"/>
      <c r="G118" s="86"/>
      <c r="H118" s="20"/>
      <c r="I118" s="4"/>
      <c r="J118" s="4"/>
      <c r="K118" s="4" t="str">
        <f>IFERROR(INDEX(tbl_コース[正式コース名],MATCH(受診者マスタ[[#This Row],[検診コース]],tbl_コース[コース],0)),"")</f>
        <v/>
      </c>
      <c r="L118" s="4" t="str">
        <f>IF(受診者マスタ[[#This Row],[生年月日]]="","",DATEDIF(受診者マスタ[[#This Row],[生年月日]],IF(MONTH(TODAY())&gt;=4,DATE(YEAR(TODAY())+1,3,31),DATE(YEAR(TODAY()),3,31)),"Y"))</f>
        <v/>
      </c>
      <c r="M118" s="85"/>
      <c r="N118" s="85"/>
      <c r="O118" s="85"/>
    </row>
    <row r="119" spans="2:15" ht="18" customHeight="1" x14ac:dyDescent="0.55000000000000004">
      <c r="B119" s="84"/>
      <c r="C119" s="5" t="str">
        <f>受診者マスタ[[#This Row],[会社名]]&amp;"_"&amp;受診者マスタ[[#This Row],[氏名]]</f>
        <v>_</v>
      </c>
      <c r="D119" s="85"/>
      <c r="E119" s="85"/>
      <c r="F119" s="5"/>
      <c r="G119" s="86"/>
      <c r="H119" s="20"/>
      <c r="I119" s="4"/>
      <c r="J119" s="4"/>
      <c r="K119" s="4" t="str">
        <f>IFERROR(INDEX(tbl_コース[正式コース名],MATCH(受診者マスタ[[#This Row],[検診コース]],tbl_コース[コース],0)),"")</f>
        <v/>
      </c>
      <c r="L119" s="4" t="str">
        <f>IF(受診者マスタ[[#This Row],[生年月日]]="","",DATEDIF(受診者マスタ[[#This Row],[生年月日]],IF(MONTH(TODAY())&gt;=4,DATE(YEAR(TODAY())+1,3,31),DATE(YEAR(TODAY()),3,31)),"Y"))</f>
        <v/>
      </c>
      <c r="M119" s="85"/>
      <c r="N119" s="85"/>
      <c r="O119" s="85"/>
    </row>
    <row r="120" spans="2:15" ht="18" customHeight="1" x14ac:dyDescent="0.55000000000000004">
      <c r="B120" s="84"/>
      <c r="C120" s="5" t="str">
        <f>受診者マスタ[[#This Row],[会社名]]&amp;"_"&amp;受診者マスタ[[#This Row],[氏名]]</f>
        <v>_</v>
      </c>
      <c r="D120" s="85"/>
      <c r="E120" s="85"/>
      <c r="F120" s="5"/>
      <c r="G120" s="86"/>
      <c r="H120" s="20"/>
      <c r="I120" s="4"/>
      <c r="J120" s="4"/>
      <c r="K120" s="4" t="str">
        <f>IFERROR(INDEX(tbl_コース[正式コース名],MATCH(受診者マスタ[[#This Row],[検診コース]],tbl_コース[コース],0)),"")</f>
        <v/>
      </c>
      <c r="L120" s="4" t="str">
        <f>IF(受診者マスタ[[#This Row],[生年月日]]="","",DATEDIF(受診者マスタ[[#This Row],[生年月日]],IF(MONTH(TODAY())&gt;=4,DATE(YEAR(TODAY())+1,3,31),DATE(YEAR(TODAY()),3,31)),"Y"))</f>
        <v/>
      </c>
      <c r="M120" s="85"/>
      <c r="N120" s="85"/>
      <c r="O120" s="85"/>
    </row>
    <row r="121" spans="2:15" ht="18" customHeight="1" x14ac:dyDescent="0.55000000000000004">
      <c r="B121" s="84"/>
      <c r="C121" s="5" t="str">
        <f>受診者マスタ[[#This Row],[会社名]]&amp;"_"&amp;受診者マスタ[[#This Row],[氏名]]</f>
        <v>_</v>
      </c>
      <c r="D121" s="85"/>
      <c r="E121" s="85"/>
      <c r="F121" s="5"/>
      <c r="G121" s="86"/>
      <c r="H121" s="20"/>
      <c r="I121" s="4"/>
      <c r="J121" s="4"/>
      <c r="K121" s="4" t="str">
        <f>IFERROR(INDEX(tbl_コース[正式コース名],MATCH(受診者マスタ[[#This Row],[検診コース]],tbl_コース[コース],0)),"")</f>
        <v/>
      </c>
      <c r="L121" s="4" t="str">
        <f>IF(受診者マスタ[[#This Row],[生年月日]]="","",DATEDIF(受診者マスタ[[#This Row],[生年月日]],IF(MONTH(TODAY())&gt;=4,DATE(YEAR(TODAY())+1,3,31),DATE(YEAR(TODAY()),3,31)),"Y"))</f>
        <v/>
      </c>
      <c r="M121" s="85"/>
      <c r="N121" s="85"/>
      <c r="O121" s="85"/>
    </row>
    <row r="122" spans="2:15" ht="18" customHeight="1" x14ac:dyDescent="0.55000000000000004">
      <c r="B122" s="84"/>
      <c r="C122" s="5" t="str">
        <f>受診者マスタ[[#This Row],[会社名]]&amp;"_"&amp;受診者マスタ[[#This Row],[氏名]]</f>
        <v>_</v>
      </c>
      <c r="D122" s="85"/>
      <c r="E122" s="85"/>
      <c r="F122" s="5"/>
      <c r="G122" s="86"/>
      <c r="H122" s="20"/>
      <c r="I122" s="4"/>
      <c r="J122" s="4"/>
      <c r="K122" s="4" t="str">
        <f>IFERROR(INDEX(tbl_コース[正式コース名],MATCH(受診者マスタ[[#This Row],[検診コース]],tbl_コース[コース],0)),"")</f>
        <v/>
      </c>
      <c r="L122" s="4" t="str">
        <f>IF(受診者マスタ[[#This Row],[生年月日]]="","",DATEDIF(受診者マスタ[[#This Row],[生年月日]],IF(MONTH(TODAY())&gt;=4,DATE(YEAR(TODAY())+1,3,31),DATE(YEAR(TODAY()),3,31)),"Y"))</f>
        <v/>
      </c>
      <c r="M122" s="85"/>
      <c r="N122" s="85"/>
      <c r="O122" s="85"/>
    </row>
    <row r="123" spans="2:15" ht="18" customHeight="1" x14ac:dyDescent="0.55000000000000004">
      <c r="B123" s="84"/>
      <c r="C123" s="5" t="str">
        <f>受診者マスタ[[#This Row],[会社名]]&amp;"_"&amp;受診者マスタ[[#This Row],[氏名]]</f>
        <v>_</v>
      </c>
      <c r="D123" s="85"/>
      <c r="E123" s="85"/>
      <c r="F123" s="5"/>
      <c r="G123" s="86"/>
      <c r="H123" s="20"/>
      <c r="I123" s="4"/>
      <c r="J123" s="4"/>
      <c r="K123" s="4" t="str">
        <f>IFERROR(INDEX(tbl_コース[正式コース名],MATCH(受診者マスタ[[#This Row],[検診コース]],tbl_コース[コース],0)),"")</f>
        <v/>
      </c>
      <c r="L123" s="4" t="str">
        <f>IF(受診者マスタ[[#This Row],[生年月日]]="","",DATEDIF(受診者マスタ[[#This Row],[生年月日]],IF(MONTH(TODAY())&gt;=4,DATE(YEAR(TODAY())+1,3,31),DATE(YEAR(TODAY()),3,31)),"Y"))</f>
        <v/>
      </c>
      <c r="M123" s="85"/>
      <c r="N123" s="85"/>
      <c r="O123" s="85"/>
    </row>
    <row r="124" spans="2:15" ht="18" customHeight="1" x14ac:dyDescent="0.55000000000000004">
      <c r="B124" s="84"/>
      <c r="C124" s="5" t="str">
        <f>受診者マスタ[[#This Row],[会社名]]&amp;"_"&amp;受診者マスタ[[#This Row],[氏名]]</f>
        <v>_</v>
      </c>
      <c r="D124" s="85"/>
      <c r="E124" s="85"/>
      <c r="F124" s="5"/>
      <c r="G124" s="86"/>
      <c r="H124" s="20"/>
      <c r="I124" s="4"/>
      <c r="J124" s="4"/>
      <c r="K124" s="4" t="str">
        <f>IFERROR(INDEX(tbl_コース[正式コース名],MATCH(受診者マスタ[[#This Row],[検診コース]],tbl_コース[コース],0)),"")</f>
        <v/>
      </c>
      <c r="L124" s="4" t="str">
        <f>IF(受診者マスタ[[#This Row],[生年月日]]="","",DATEDIF(受診者マスタ[[#This Row],[生年月日]],IF(MONTH(TODAY())&gt;=4,DATE(YEAR(TODAY())+1,3,31),DATE(YEAR(TODAY()),3,31)),"Y"))</f>
        <v/>
      </c>
      <c r="M124" s="85"/>
      <c r="N124" s="85"/>
      <c r="O124" s="85"/>
    </row>
    <row r="125" spans="2:15" ht="18" customHeight="1" x14ac:dyDescent="0.55000000000000004">
      <c r="B125" s="84"/>
      <c r="C125" s="5" t="str">
        <f>受診者マスタ[[#This Row],[会社名]]&amp;"_"&amp;受診者マスタ[[#This Row],[氏名]]</f>
        <v>_</v>
      </c>
      <c r="D125" s="85"/>
      <c r="E125" s="85"/>
      <c r="F125" s="5"/>
      <c r="G125" s="86"/>
      <c r="H125" s="20"/>
      <c r="I125" s="4"/>
      <c r="J125" s="4"/>
      <c r="K125" s="4" t="str">
        <f>IFERROR(INDEX(tbl_コース[正式コース名],MATCH(受診者マスタ[[#This Row],[検診コース]],tbl_コース[コース],0)),"")</f>
        <v/>
      </c>
      <c r="L125" s="4" t="str">
        <f>IF(受診者マスタ[[#This Row],[生年月日]]="","",DATEDIF(受診者マスタ[[#This Row],[生年月日]],IF(MONTH(TODAY())&gt;=4,DATE(YEAR(TODAY())+1,3,31),DATE(YEAR(TODAY()),3,31)),"Y"))</f>
        <v/>
      </c>
      <c r="M125" s="85"/>
      <c r="N125" s="85"/>
      <c r="O125" s="85"/>
    </row>
    <row r="126" spans="2:15" ht="18" customHeight="1" x14ac:dyDescent="0.55000000000000004">
      <c r="B126" s="84"/>
      <c r="C126" s="5" t="str">
        <f>受診者マスタ[[#This Row],[会社名]]&amp;"_"&amp;受診者マスタ[[#This Row],[氏名]]</f>
        <v>_</v>
      </c>
      <c r="D126" s="85"/>
      <c r="E126" s="85"/>
      <c r="F126" s="5"/>
      <c r="G126" s="86"/>
      <c r="H126" s="20"/>
      <c r="I126" s="4"/>
      <c r="J126" s="4"/>
      <c r="K126" s="4" t="str">
        <f>IFERROR(INDEX(tbl_コース[正式コース名],MATCH(受診者マスタ[[#This Row],[検診コース]],tbl_コース[コース],0)),"")</f>
        <v/>
      </c>
      <c r="L126" s="4" t="str">
        <f>IF(受診者マスタ[[#This Row],[生年月日]]="","",DATEDIF(受診者マスタ[[#This Row],[生年月日]],IF(MONTH(TODAY())&gt;=4,DATE(YEAR(TODAY())+1,3,31),DATE(YEAR(TODAY()),3,31)),"Y"))</f>
        <v/>
      </c>
      <c r="M126" s="85"/>
      <c r="N126" s="85"/>
      <c r="O126" s="85"/>
    </row>
    <row r="127" spans="2:15" ht="18" customHeight="1" x14ac:dyDescent="0.55000000000000004">
      <c r="B127" s="84"/>
      <c r="C127" s="5" t="str">
        <f>受診者マスタ[[#This Row],[会社名]]&amp;"_"&amp;受診者マスタ[[#This Row],[氏名]]</f>
        <v>_</v>
      </c>
      <c r="D127" s="85"/>
      <c r="E127" s="85"/>
      <c r="F127" s="5"/>
      <c r="G127" s="86"/>
      <c r="H127" s="20"/>
      <c r="I127" s="4"/>
      <c r="J127" s="4"/>
      <c r="K127" s="4" t="str">
        <f>IFERROR(INDEX(tbl_コース[正式コース名],MATCH(受診者マスタ[[#This Row],[検診コース]],tbl_コース[コース],0)),"")</f>
        <v/>
      </c>
      <c r="L127" s="4" t="str">
        <f>IF(受診者マスタ[[#This Row],[生年月日]]="","",DATEDIF(受診者マスタ[[#This Row],[生年月日]],IF(MONTH(TODAY())&gt;=4,DATE(YEAR(TODAY())+1,3,31),DATE(YEAR(TODAY()),3,31)),"Y"))</f>
        <v/>
      </c>
      <c r="M127" s="85"/>
      <c r="N127" s="85"/>
      <c r="O127" s="85"/>
    </row>
    <row r="128" spans="2:15" ht="18" customHeight="1" x14ac:dyDescent="0.55000000000000004">
      <c r="B128" s="84"/>
      <c r="C128" s="5" t="str">
        <f>受診者マスタ[[#This Row],[会社名]]&amp;"_"&amp;受診者マスタ[[#This Row],[氏名]]</f>
        <v>_</v>
      </c>
      <c r="D128" s="85"/>
      <c r="E128" s="85"/>
      <c r="F128" s="5"/>
      <c r="G128" s="86"/>
      <c r="H128" s="20"/>
      <c r="I128" s="4"/>
      <c r="J128" s="4"/>
      <c r="K128" s="4" t="str">
        <f>IFERROR(INDEX(tbl_コース[正式コース名],MATCH(受診者マスタ[[#This Row],[検診コース]],tbl_コース[コース],0)),"")</f>
        <v/>
      </c>
      <c r="L128" s="4" t="str">
        <f>IF(受診者マスタ[[#This Row],[生年月日]]="","",DATEDIF(受診者マスタ[[#This Row],[生年月日]],IF(MONTH(TODAY())&gt;=4,DATE(YEAR(TODAY())+1,3,31),DATE(YEAR(TODAY()),3,31)),"Y"))</f>
        <v/>
      </c>
      <c r="M128" s="85"/>
      <c r="N128" s="85"/>
      <c r="O128" s="85"/>
    </row>
    <row r="129" spans="2:15" ht="18" customHeight="1" x14ac:dyDescent="0.55000000000000004">
      <c r="B129" s="84"/>
      <c r="C129" s="5" t="str">
        <f>受診者マスタ[[#This Row],[会社名]]&amp;"_"&amp;受診者マスタ[[#This Row],[氏名]]</f>
        <v>_</v>
      </c>
      <c r="D129" s="85"/>
      <c r="E129" s="85"/>
      <c r="F129" s="5"/>
      <c r="G129" s="86"/>
      <c r="H129" s="20"/>
      <c r="I129" s="4"/>
      <c r="J129" s="4"/>
      <c r="K129" s="4" t="str">
        <f>IFERROR(INDEX(tbl_コース[正式コース名],MATCH(受診者マスタ[[#This Row],[検診コース]],tbl_コース[コース],0)),"")</f>
        <v/>
      </c>
      <c r="L129" s="4" t="str">
        <f>IF(受診者マスタ[[#This Row],[生年月日]]="","",DATEDIF(受診者マスタ[[#This Row],[生年月日]],IF(MONTH(TODAY())&gt;=4,DATE(YEAR(TODAY())+1,3,31),DATE(YEAR(TODAY()),3,31)),"Y"))</f>
        <v/>
      </c>
      <c r="M129" s="85"/>
      <c r="N129" s="85"/>
      <c r="O129" s="85"/>
    </row>
    <row r="130" spans="2:15" ht="18" customHeight="1" x14ac:dyDescent="0.55000000000000004">
      <c r="B130" s="84"/>
      <c r="C130" s="5" t="str">
        <f>受診者マスタ[[#This Row],[会社名]]&amp;"_"&amp;受診者マスタ[[#This Row],[氏名]]</f>
        <v>_</v>
      </c>
      <c r="D130" s="85"/>
      <c r="E130" s="85"/>
      <c r="F130" s="5"/>
      <c r="G130" s="86"/>
      <c r="H130" s="20"/>
      <c r="I130" s="4"/>
      <c r="J130" s="4"/>
      <c r="K130" s="4" t="str">
        <f>IFERROR(INDEX(tbl_コース[正式コース名],MATCH(受診者マスタ[[#This Row],[検診コース]],tbl_コース[コース],0)),"")</f>
        <v/>
      </c>
      <c r="L130" s="4" t="str">
        <f>IF(受診者マスタ[[#This Row],[生年月日]]="","",DATEDIF(受診者マスタ[[#This Row],[生年月日]],IF(MONTH(TODAY())&gt;=4,DATE(YEAR(TODAY())+1,3,31),DATE(YEAR(TODAY()),3,31)),"Y"))</f>
        <v/>
      </c>
      <c r="M130" s="85"/>
      <c r="N130" s="85"/>
      <c r="O130" s="85"/>
    </row>
    <row r="131" spans="2:15" ht="18" customHeight="1" x14ac:dyDescent="0.55000000000000004">
      <c r="B131" s="84"/>
      <c r="C131" s="5" t="str">
        <f>受診者マスタ[[#This Row],[会社名]]&amp;"_"&amp;受診者マスタ[[#This Row],[氏名]]</f>
        <v>_</v>
      </c>
      <c r="D131" s="85"/>
      <c r="E131" s="85"/>
      <c r="F131" s="5"/>
      <c r="G131" s="86"/>
      <c r="H131" s="20"/>
      <c r="I131" s="4"/>
      <c r="J131" s="4"/>
      <c r="K131" s="4" t="str">
        <f>IFERROR(INDEX(tbl_コース[正式コース名],MATCH(受診者マスタ[[#This Row],[検診コース]],tbl_コース[コース],0)),"")</f>
        <v/>
      </c>
      <c r="L131" s="4" t="str">
        <f>IF(受診者マスタ[[#This Row],[生年月日]]="","",DATEDIF(受診者マスタ[[#This Row],[生年月日]],IF(MONTH(TODAY())&gt;=4,DATE(YEAR(TODAY())+1,3,31),DATE(YEAR(TODAY()),3,31)),"Y"))</f>
        <v/>
      </c>
      <c r="M131" s="85"/>
      <c r="N131" s="85"/>
      <c r="O131" s="85"/>
    </row>
    <row r="132" spans="2:15" ht="18" customHeight="1" x14ac:dyDescent="0.55000000000000004">
      <c r="B132" s="84"/>
      <c r="C132" s="5" t="str">
        <f>受診者マスタ[[#This Row],[会社名]]&amp;"_"&amp;受診者マスタ[[#This Row],[氏名]]</f>
        <v>_</v>
      </c>
      <c r="D132" s="85"/>
      <c r="E132" s="85"/>
      <c r="F132" s="5"/>
      <c r="G132" s="86"/>
      <c r="H132" s="20"/>
      <c r="I132" s="4"/>
      <c r="J132" s="4"/>
      <c r="K132" s="4" t="str">
        <f>IFERROR(INDEX(tbl_コース[正式コース名],MATCH(受診者マスタ[[#This Row],[検診コース]],tbl_コース[コース],0)),"")</f>
        <v/>
      </c>
      <c r="L132" s="4" t="str">
        <f>IF(受診者マスタ[[#This Row],[生年月日]]="","",DATEDIF(受診者マスタ[[#This Row],[生年月日]],IF(MONTH(TODAY())&gt;=4,DATE(YEAR(TODAY())+1,3,31),DATE(YEAR(TODAY()),3,31)),"Y"))</f>
        <v/>
      </c>
      <c r="M132" s="85"/>
      <c r="N132" s="85"/>
      <c r="O132" s="85"/>
    </row>
    <row r="133" spans="2:15" ht="18" customHeight="1" x14ac:dyDescent="0.55000000000000004">
      <c r="B133" s="84"/>
      <c r="C133" s="5" t="str">
        <f>受診者マスタ[[#This Row],[会社名]]&amp;"_"&amp;受診者マスタ[[#This Row],[氏名]]</f>
        <v>_</v>
      </c>
      <c r="D133" s="85"/>
      <c r="E133" s="85"/>
      <c r="F133" s="5"/>
      <c r="G133" s="86"/>
      <c r="H133" s="20"/>
      <c r="I133" s="4"/>
      <c r="J133" s="4"/>
      <c r="K133" s="4" t="str">
        <f>IFERROR(INDEX(tbl_コース[正式コース名],MATCH(受診者マスタ[[#This Row],[検診コース]],tbl_コース[コース],0)),"")</f>
        <v/>
      </c>
      <c r="L133" s="4" t="str">
        <f>IF(受診者マスタ[[#This Row],[生年月日]]="","",DATEDIF(受診者マスタ[[#This Row],[生年月日]],IF(MONTH(TODAY())&gt;=4,DATE(YEAR(TODAY())+1,3,31),DATE(YEAR(TODAY()),3,31)),"Y"))</f>
        <v/>
      </c>
      <c r="M133" s="85"/>
      <c r="N133" s="85"/>
      <c r="O133" s="85"/>
    </row>
    <row r="134" spans="2:15" ht="18" customHeight="1" x14ac:dyDescent="0.55000000000000004">
      <c r="B134" s="84"/>
      <c r="C134" s="5" t="str">
        <f>受診者マスタ[[#This Row],[会社名]]&amp;"_"&amp;受診者マスタ[[#This Row],[氏名]]</f>
        <v>_</v>
      </c>
      <c r="D134" s="85"/>
      <c r="E134" s="85"/>
      <c r="F134" s="5"/>
      <c r="G134" s="86"/>
      <c r="H134" s="20"/>
      <c r="I134" s="4"/>
      <c r="J134" s="4"/>
      <c r="K134" s="4" t="str">
        <f>IFERROR(INDEX(tbl_コース[正式コース名],MATCH(受診者マスタ[[#This Row],[検診コース]],tbl_コース[コース],0)),"")</f>
        <v/>
      </c>
      <c r="L134" s="4" t="str">
        <f>IF(受診者マスタ[[#This Row],[生年月日]]="","",DATEDIF(受診者マスタ[[#This Row],[生年月日]],IF(MONTH(TODAY())&gt;=4,DATE(YEAR(TODAY())+1,3,31),DATE(YEAR(TODAY()),3,31)),"Y"))</f>
        <v/>
      </c>
      <c r="M134" s="85"/>
      <c r="N134" s="85"/>
      <c r="O134" s="85"/>
    </row>
    <row r="135" spans="2:15" ht="18" customHeight="1" x14ac:dyDescent="0.55000000000000004">
      <c r="B135" s="84"/>
      <c r="C135" s="5" t="str">
        <f>受診者マスタ[[#This Row],[会社名]]&amp;"_"&amp;受診者マスタ[[#This Row],[氏名]]</f>
        <v>_</v>
      </c>
      <c r="D135" s="85"/>
      <c r="E135" s="85"/>
      <c r="F135" s="5"/>
      <c r="G135" s="86"/>
      <c r="H135" s="20"/>
      <c r="I135" s="4"/>
      <c r="J135" s="4"/>
      <c r="K135" s="4" t="str">
        <f>IFERROR(INDEX(tbl_コース[正式コース名],MATCH(受診者マスタ[[#This Row],[検診コース]],tbl_コース[コース],0)),"")</f>
        <v/>
      </c>
      <c r="L135" s="4" t="str">
        <f>IF(受診者マスタ[[#This Row],[生年月日]]="","",DATEDIF(受診者マスタ[[#This Row],[生年月日]],IF(MONTH(TODAY())&gt;=4,DATE(YEAR(TODAY())+1,3,31),DATE(YEAR(TODAY()),3,31)),"Y"))</f>
        <v/>
      </c>
      <c r="M135" s="85"/>
      <c r="N135" s="85"/>
      <c r="O135" s="85"/>
    </row>
    <row r="136" spans="2:15" ht="18" customHeight="1" x14ac:dyDescent="0.55000000000000004">
      <c r="B136" s="84"/>
      <c r="C136" s="5" t="str">
        <f>受診者マスタ[[#This Row],[会社名]]&amp;"_"&amp;受診者マスタ[[#This Row],[氏名]]</f>
        <v>_</v>
      </c>
      <c r="D136" s="85"/>
      <c r="E136" s="85"/>
      <c r="F136" s="5"/>
      <c r="G136" s="86"/>
      <c r="H136" s="20"/>
      <c r="I136" s="4"/>
      <c r="J136" s="4"/>
      <c r="K136" s="4" t="str">
        <f>IFERROR(INDEX(tbl_コース[正式コース名],MATCH(受診者マスタ[[#This Row],[検診コース]],tbl_コース[コース],0)),"")</f>
        <v/>
      </c>
      <c r="L136" s="4" t="str">
        <f>IF(受診者マスタ[[#This Row],[生年月日]]="","",DATEDIF(受診者マスタ[[#This Row],[生年月日]],IF(MONTH(TODAY())&gt;=4,DATE(YEAR(TODAY())+1,3,31),DATE(YEAR(TODAY()),3,31)),"Y"))</f>
        <v/>
      </c>
      <c r="M136" s="85"/>
      <c r="N136" s="85"/>
      <c r="O136" s="85"/>
    </row>
    <row r="137" spans="2:15" ht="18" customHeight="1" x14ac:dyDescent="0.55000000000000004">
      <c r="B137" s="84"/>
      <c r="C137" s="5" t="str">
        <f>受診者マスタ[[#This Row],[会社名]]&amp;"_"&amp;受診者マスタ[[#This Row],[氏名]]</f>
        <v>_</v>
      </c>
      <c r="D137" s="85"/>
      <c r="E137" s="85"/>
      <c r="F137" s="5"/>
      <c r="G137" s="86"/>
      <c r="H137" s="20"/>
      <c r="I137" s="4"/>
      <c r="J137" s="4"/>
      <c r="K137" s="4" t="str">
        <f>IFERROR(INDEX(tbl_コース[正式コース名],MATCH(受診者マスタ[[#This Row],[検診コース]],tbl_コース[コース],0)),"")</f>
        <v/>
      </c>
      <c r="L137" s="4" t="str">
        <f>IF(受診者マスタ[[#This Row],[生年月日]]="","",DATEDIF(受診者マスタ[[#This Row],[生年月日]],IF(MONTH(TODAY())&gt;=4,DATE(YEAR(TODAY())+1,3,31),DATE(YEAR(TODAY()),3,31)),"Y"))</f>
        <v/>
      </c>
      <c r="M137" s="85"/>
      <c r="N137" s="85"/>
      <c r="O137" s="85"/>
    </row>
    <row r="138" spans="2:15" ht="18" customHeight="1" x14ac:dyDescent="0.55000000000000004">
      <c r="B138" s="84"/>
      <c r="C138" s="5" t="str">
        <f>受診者マスタ[[#This Row],[会社名]]&amp;"_"&amp;受診者マスタ[[#This Row],[氏名]]</f>
        <v>_</v>
      </c>
      <c r="D138" s="85"/>
      <c r="E138" s="85"/>
      <c r="F138" s="5"/>
      <c r="G138" s="86"/>
      <c r="H138" s="20"/>
      <c r="I138" s="4"/>
      <c r="J138" s="4"/>
      <c r="K138" s="4" t="str">
        <f>IFERROR(INDEX(tbl_コース[正式コース名],MATCH(受診者マスタ[[#This Row],[検診コース]],tbl_コース[コース],0)),"")</f>
        <v/>
      </c>
      <c r="L138" s="4" t="str">
        <f>IF(受診者マスタ[[#This Row],[生年月日]]="","",DATEDIF(受診者マスタ[[#This Row],[生年月日]],IF(MONTH(TODAY())&gt;=4,DATE(YEAR(TODAY())+1,3,31),DATE(YEAR(TODAY()),3,31)),"Y"))</f>
        <v/>
      </c>
      <c r="M138" s="85"/>
      <c r="N138" s="85"/>
      <c r="O138" s="85"/>
    </row>
    <row r="139" spans="2:15" ht="18" customHeight="1" x14ac:dyDescent="0.55000000000000004">
      <c r="B139" s="84"/>
      <c r="C139" s="5" t="str">
        <f>受診者マスタ[[#This Row],[会社名]]&amp;"_"&amp;受診者マスタ[[#This Row],[氏名]]</f>
        <v>_</v>
      </c>
      <c r="D139" s="85"/>
      <c r="E139" s="85"/>
      <c r="F139" s="5"/>
      <c r="G139" s="86"/>
      <c r="H139" s="20"/>
      <c r="I139" s="4"/>
      <c r="J139" s="4"/>
      <c r="K139" s="4" t="str">
        <f>IFERROR(INDEX(tbl_コース[正式コース名],MATCH(受診者マスタ[[#This Row],[検診コース]],tbl_コース[コース],0)),"")</f>
        <v/>
      </c>
      <c r="L139" s="4" t="str">
        <f>IF(受診者マスタ[[#This Row],[生年月日]]="","",DATEDIF(受診者マスタ[[#This Row],[生年月日]],IF(MONTH(TODAY())&gt;=4,DATE(YEAR(TODAY())+1,3,31),DATE(YEAR(TODAY()),3,31)),"Y"))</f>
        <v/>
      </c>
      <c r="M139" s="85"/>
      <c r="N139" s="85"/>
      <c r="O139" s="85"/>
    </row>
    <row r="140" spans="2:15" ht="18" customHeight="1" x14ac:dyDescent="0.55000000000000004">
      <c r="B140" s="84"/>
      <c r="C140" s="5" t="str">
        <f>受診者マスタ[[#This Row],[会社名]]&amp;"_"&amp;受診者マスタ[[#This Row],[氏名]]</f>
        <v>_</v>
      </c>
      <c r="D140" s="85"/>
      <c r="E140" s="85"/>
      <c r="F140" s="5"/>
      <c r="G140" s="86"/>
      <c r="H140" s="20"/>
      <c r="I140" s="4"/>
      <c r="J140" s="4"/>
      <c r="K140" s="4" t="str">
        <f>IFERROR(INDEX(tbl_コース[正式コース名],MATCH(受診者マスタ[[#This Row],[検診コース]],tbl_コース[コース],0)),"")</f>
        <v/>
      </c>
      <c r="L140" s="4" t="str">
        <f>IF(受診者マスタ[[#This Row],[生年月日]]="","",DATEDIF(受診者マスタ[[#This Row],[生年月日]],IF(MONTH(TODAY())&gt;=4,DATE(YEAR(TODAY())+1,3,31),DATE(YEAR(TODAY()),3,31)),"Y"))</f>
        <v/>
      </c>
      <c r="M140" s="85"/>
      <c r="N140" s="85"/>
      <c r="O140" s="85"/>
    </row>
    <row r="141" spans="2:15" ht="18" customHeight="1" x14ac:dyDescent="0.55000000000000004">
      <c r="B141" s="84"/>
      <c r="C141" s="5" t="str">
        <f>受診者マスタ[[#This Row],[会社名]]&amp;"_"&amp;受診者マスタ[[#This Row],[氏名]]</f>
        <v>_</v>
      </c>
      <c r="D141" s="85"/>
      <c r="E141" s="85"/>
      <c r="F141" s="5"/>
      <c r="G141" s="86"/>
      <c r="H141" s="20"/>
      <c r="I141" s="4"/>
      <c r="J141" s="4"/>
      <c r="K141" s="4" t="str">
        <f>IFERROR(INDEX(tbl_コース[正式コース名],MATCH(受診者マスタ[[#This Row],[検診コース]],tbl_コース[コース],0)),"")</f>
        <v/>
      </c>
      <c r="L141" s="4" t="str">
        <f>IF(受診者マスタ[[#This Row],[生年月日]]="","",DATEDIF(受診者マスタ[[#This Row],[生年月日]],IF(MONTH(TODAY())&gt;=4,DATE(YEAR(TODAY())+1,3,31),DATE(YEAR(TODAY()),3,31)),"Y"))</f>
        <v/>
      </c>
      <c r="M141" s="85"/>
      <c r="N141" s="85"/>
      <c r="O141" s="85"/>
    </row>
    <row r="142" spans="2:15" ht="18" customHeight="1" x14ac:dyDescent="0.55000000000000004">
      <c r="B142" s="84"/>
      <c r="C142" s="5" t="str">
        <f>受診者マスタ[[#This Row],[会社名]]&amp;"_"&amp;受診者マスタ[[#This Row],[氏名]]</f>
        <v>_</v>
      </c>
      <c r="D142" s="85"/>
      <c r="E142" s="85"/>
      <c r="F142" s="5"/>
      <c r="G142" s="86"/>
      <c r="H142" s="20"/>
      <c r="I142" s="4"/>
      <c r="J142" s="4"/>
      <c r="K142" s="4" t="str">
        <f>IFERROR(INDEX(tbl_コース[正式コース名],MATCH(受診者マスタ[[#This Row],[検診コース]],tbl_コース[コース],0)),"")</f>
        <v/>
      </c>
      <c r="L142" s="4" t="str">
        <f>IF(受診者マスタ[[#This Row],[生年月日]]="","",DATEDIF(受診者マスタ[[#This Row],[生年月日]],IF(MONTH(TODAY())&gt;=4,DATE(YEAR(TODAY())+1,3,31),DATE(YEAR(TODAY()),3,31)),"Y"))</f>
        <v/>
      </c>
      <c r="M142" s="85"/>
      <c r="N142" s="85"/>
      <c r="O142" s="85"/>
    </row>
  </sheetData>
  <phoneticPr fontId="1"/>
  <conditionalFormatting sqref="F4:F142">
    <cfRule type="containsText" dxfId="135" priority="14" operator="containsText" text="女">
      <formula>NOT(ISERROR(SEARCH("女",F4)))</formula>
    </cfRule>
    <cfRule type="containsText" dxfId="134" priority="15" operator="containsText" text="男">
      <formula>NOT(ISERROR(SEARCH("男",F4)))</formula>
    </cfRule>
  </conditionalFormatting>
  <conditionalFormatting sqref="B4:O142">
    <cfRule type="expression" dxfId="133" priority="17">
      <formula>$B4="済"</formula>
    </cfRule>
  </conditionalFormatting>
  <conditionalFormatting sqref="B4:B142">
    <cfRule type="cellIs" dxfId="132" priority="16" operator="equal">
      <formula>"済"</formula>
    </cfRule>
  </conditionalFormatting>
  <conditionalFormatting sqref="B57:O57">
    <cfRule type="expression" dxfId="131" priority="10">
      <formula>$B57="済"</formula>
    </cfRule>
  </conditionalFormatting>
  <conditionalFormatting sqref="B58:O66">
    <cfRule type="expression" dxfId="130" priority="9">
      <formula>$B58="済"</formula>
    </cfRule>
  </conditionalFormatting>
  <conditionalFormatting sqref="B67:O80">
    <cfRule type="expression" dxfId="129" priority="8">
      <formula>$B67="済"</formula>
    </cfRule>
  </conditionalFormatting>
  <conditionalFormatting sqref="B81:O91">
    <cfRule type="expression" dxfId="128" priority="7">
      <formula>$B81="済"</formula>
    </cfRule>
  </conditionalFormatting>
  <conditionalFormatting sqref="B92:O104">
    <cfRule type="expression" dxfId="127" priority="6">
      <formula>$B92="済"</formula>
    </cfRule>
  </conditionalFormatting>
  <conditionalFormatting sqref="B105:O117">
    <cfRule type="expression" dxfId="126" priority="5">
      <formula>$B105="済"</formula>
    </cfRule>
  </conditionalFormatting>
  <conditionalFormatting sqref="B118:O133">
    <cfRule type="expression" dxfId="125" priority="4">
      <formula>$B118="済"</formula>
    </cfRule>
  </conditionalFormatting>
  <conditionalFormatting sqref="B134:O140">
    <cfRule type="expression" dxfId="124" priority="3">
      <formula>$B134="済"</formula>
    </cfRule>
  </conditionalFormatting>
  <conditionalFormatting sqref="B141:O142">
    <cfRule type="expression" dxfId="123" priority="2">
      <formula>$B141="済"</formula>
    </cfRule>
  </conditionalFormatting>
  <conditionalFormatting sqref="B141:O142">
    <cfRule type="expression" dxfId="122" priority="1">
      <formula>$B141="済"</formula>
    </cfRule>
  </conditionalFormatting>
  <dataValidations count="3">
    <dataValidation type="list" allowBlank="1" showInputMessage="1" showErrorMessage="1" sqref="J4:J142" xr:uid="{64691162-D128-4B9F-8B86-9F0EA4761C57}">
      <formula1>コースリスト</formula1>
    </dataValidation>
    <dataValidation type="list" allowBlank="1" showInputMessage="1" showErrorMessage="1" sqref="I4:I142" xr:uid="{CB08A773-7166-405B-8BC0-9D20A86CE207}">
      <formula1>会社名リスト</formula1>
    </dataValidation>
    <dataValidation type="list" allowBlank="1" showInputMessage="1" showErrorMessage="1" sqref="F4:F142" xr:uid="{DD1B0427-8346-4E5A-815F-4AA486778499}">
      <formula1>"男性,女性"</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9D085F-B643-4FF4-9406-527184B3EFBD}">
  <sheetPr codeName="ws会社マスタ">
    <tabColor theme="0" tint="-0.499984740745262"/>
  </sheetPr>
  <dimension ref="A1:E7"/>
  <sheetViews>
    <sheetView showGridLines="0" zoomScaleNormal="100" workbookViewId="0">
      <selection activeCell="B5" sqref="B5"/>
    </sheetView>
  </sheetViews>
  <sheetFormatPr defaultColWidth="8.58203125" defaultRowHeight="18" customHeight="1" x14ac:dyDescent="0.55000000000000004"/>
  <cols>
    <col min="1" max="1" width="1.58203125" style="4" customWidth="1"/>
    <col min="2" max="2" width="14.5" style="4" bestFit="1" customWidth="1"/>
    <col min="3" max="4" width="8.58203125" style="4"/>
    <col min="5" max="5" width="25.08203125" style="4" customWidth="1"/>
    <col min="6" max="16384" width="8.58203125" style="4"/>
  </cols>
  <sheetData>
    <row r="1" spans="1:5" ht="28.5" customHeight="1" x14ac:dyDescent="0.55000000000000004">
      <c r="A1" s="3" t="s">
        <v>17</v>
      </c>
    </row>
    <row r="2" spans="1:5" ht="18" customHeight="1" x14ac:dyDescent="0.55000000000000004">
      <c r="B2" s="4" t="s">
        <v>103</v>
      </c>
    </row>
    <row r="3" spans="1:5" ht="18" customHeight="1" x14ac:dyDescent="0.55000000000000004">
      <c r="B3" s="4" t="s">
        <v>7</v>
      </c>
      <c r="E3"/>
    </row>
    <row r="4" spans="1:5" ht="18" customHeight="1" x14ac:dyDescent="0.55000000000000004">
      <c r="B4" s="4"/>
      <c r="E4"/>
    </row>
    <row r="5" spans="1:5" ht="18" customHeight="1" x14ac:dyDescent="0.55000000000000004">
      <c r="B5" s="4"/>
      <c r="E5"/>
    </row>
    <row r="6" spans="1:5" ht="18" customHeight="1" x14ac:dyDescent="0.55000000000000004">
      <c r="E6"/>
    </row>
    <row r="7" spans="1:5" ht="18" customHeight="1" x14ac:dyDescent="0.55000000000000004">
      <c r="E7"/>
    </row>
  </sheetData>
  <phoneticPr fontId="1"/>
  <dataValidations count="1">
    <dataValidation type="list" allowBlank="1" showInputMessage="1" showErrorMessage="1" sqref="E4" xr:uid="{3D05D088-D0CC-4D5B-A837-4033D18CB5D1}">
      <formula1>$B$4:$B$7</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B1F076-A81E-41B2-89CE-3EA4274AB2CC}">
  <sheetPr codeName="wsCourse">
    <tabColor theme="0" tint="-0.499984740745262"/>
  </sheetPr>
  <dimension ref="A1:D20"/>
  <sheetViews>
    <sheetView showGridLines="0" workbookViewId="0"/>
  </sheetViews>
  <sheetFormatPr defaultColWidth="8.58203125" defaultRowHeight="17.5" x14ac:dyDescent="0.55000000000000004"/>
  <cols>
    <col min="1" max="1" width="1.58203125" style="4" customWidth="1"/>
    <col min="2" max="2" width="8.58203125" style="4"/>
    <col min="3" max="3" width="30.08203125" style="4" bestFit="1" customWidth="1"/>
    <col min="4" max="4" width="16.08203125" style="4" bestFit="1" customWidth="1"/>
    <col min="5" max="16384" width="8.58203125" style="4"/>
  </cols>
  <sheetData>
    <row r="1" spans="1:4" ht="28.5" x14ac:dyDescent="0.55000000000000004">
      <c r="A1" s="3" t="s">
        <v>104</v>
      </c>
    </row>
    <row r="2" spans="1:4" ht="18" customHeight="1" x14ac:dyDescent="0.55000000000000004">
      <c r="A2" s="3"/>
      <c r="B2" s="4" t="s">
        <v>105</v>
      </c>
    </row>
    <row r="3" spans="1:4" ht="18" customHeight="1" x14ac:dyDescent="0.55000000000000004">
      <c r="A3" s="3"/>
    </row>
    <row r="4" spans="1:4" ht="18" customHeight="1" x14ac:dyDescent="0.55000000000000004">
      <c r="A4" s="3"/>
      <c r="B4" s="4" t="s">
        <v>106</v>
      </c>
    </row>
    <row r="5" spans="1:4" ht="18" customHeight="1" x14ac:dyDescent="0.55000000000000004">
      <c r="A5" s="3"/>
      <c r="B5" s="71" t="s">
        <v>107</v>
      </c>
    </row>
    <row r="6" spans="1:4" ht="18" customHeight="1" x14ac:dyDescent="0.55000000000000004">
      <c r="A6" s="3"/>
      <c r="B6" s="71" t="s">
        <v>108</v>
      </c>
    </row>
    <row r="7" spans="1:4" ht="18" customHeight="1" x14ac:dyDescent="0.55000000000000004">
      <c r="A7" s="3"/>
      <c r="B7" s="71" t="s">
        <v>109</v>
      </c>
    </row>
    <row r="8" spans="1:4" ht="18" customHeight="1" x14ac:dyDescent="0.55000000000000004">
      <c r="A8" s="3"/>
    </row>
    <row r="9" spans="1:4" ht="18" customHeight="1" x14ac:dyDescent="0.55000000000000004">
      <c r="A9" s="3"/>
      <c r="B9" s="4" t="s">
        <v>110</v>
      </c>
    </row>
    <row r="10" spans="1:4" ht="18" customHeight="1" x14ac:dyDescent="0.55000000000000004">
      <c r="A10" s="3"/>
      <c r="B10" s="71" t="s">
        <v>111</v>
      </c>
    </row>
    <row r="11" spans="1:4" ht="18" customHeight="1" x14ac:dyDescent="0.55000000000000004">
      <c r="A11" s="3"/>
      <c r="B11" s="71" t="s">
        <v>112</v>
      </c>
    </row>
    <row r="12" spans="1:4" ht="18" customHeight="1" x14ac:dyDescent="0.55000000000000004">
      <c r="A12" s="3"/>
    </row>
    <row r="13" spans="1:4" ht="18" customHeight="1" x14ac:dyDescent="0.55000000000000004"/>
    <row r="14" spans="1:4" x14ac:dyDescent="0.55000000000000004">
      <c r="B14" s="4" t="s">
        <v>0</v>
      </c>
      <c r="C14" s="4" t="s">
        <v>15</v>
      </c>
      <c r="D14" s="4" t="s">
        <v>84</v>
      </c>
    </row>
    <row r="15" spans="1:4" x14ac:dyDescent="0.55000000000000004">
      <c r="B15" s="4" t="s">
        <v>3</v>
      </c>
      <c r="C15" s="4" t="s">
        <v>87</v>
      </c>
      <c r="D15" s="4" t="s">
        <v>85</v>
      </c>
    </row>
    <row r="16" spans="1:4" x14ac:dyDescent="0.55000000000000004">
      <c r="B16" s="4" t="s">
        <v>4</v>
      </c>
      <c r="C16" s="4" t="s">
        <v>88</v>
      </c>
      <c r="D16" s="4" t="s">
        <v>102</v>
      </c>
    </row>
    <row r="17" spans="2:4" x14ac:dyDescent="0.55000000000000004">
      <c r="B17" s="4" t="s">
        <v>5</v>
      </c>
      <c r="C17" s="4" t="s">
        <v>89</v>
      </c>
      <c r="D17" s="4" t="s">
        <v>85</v>
      </c>
    </row>
    <row r="18" spans="2:4" x14ac:dyDescent="0.55000000000000004">
      <c r="B18" s="4" t="s">
        <v>14</v>
      </c>
      <c r="C18" s="4" t="s">
        <v>90</v>
      </c>
      <c r="D18" s="4" t="s">
        <v>85</v>
      </c>
    </row>
    <row r="19" spans="2:4" x14ac:dyDescent="0.55000000000000004">
      <c r="B19" s="4" t="s">
        <v>82</v>
      </c>
      <c r="C19" s="4" t="s">
        <v>91</v>
      </c>
      <c r="D19" s="4" t="s">
        <v>86</v>
      </c>
    </row>
    <row r="20" spans="2:4" x14ac:dyDescent="0.55000000000000004">
      <c r="B20" s="4" t="s">
        <v>83</v>
      </c>
      <c r="C20" s="4" t="s">
        <v>92</v>
      </c>
      <c r="D20" s="4" t="s">
        <v>86</v>
      </c>
    </row>
  </sheetData>
  <phoneticPr fontId="1"/>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3A2D33-B7C8-40F0-891E-3BA515E3DCA4}">
  <sheetPr codeName="Sheet1">
    <tabColor rgb="FF00B0F0"/>
  </sheetPr>
  <dimension ref="B1:F38"/>
  <sheetViews>
    <sheetView showGridLines="0" view="pageBreakPreview" zoomScaleNormal="100" zoomScaleSheetLayoutView="100" workbookViewId="0"/>
  </sheetViews>
  <sheetFormatPr defaultColWidth="8.58203125" defaultRowHeight="13" x14ac:dyDescent="0.2"/>
  <cols>
    <col min="1" max="1" width="2.58203125" style="48" customWidth="1"/>
    <col min="2" max="2" width="22.33203125" style="47" customWidth="1"/>
    <col min="3" max="3" width="11.08203125" style="48" customWidth="1"/>
    <col min="4" max="4" width="11.58203125" style="48" customWidth="1"/>
    <col min="5" max="5" width="7.58203125" style="51" customWidth="1"/>
    <col min="6" max="6" width="22.83203125" style="49" customWidth="1"/>
    <col min="7" max="7" width="2.58203125" style="48" customWidth="1"/>
    <col min="8" max="16384" width="8.58203125" style="48"/>
  </cols>
  <sheetData>
    <row r="1" spans="2:6" ht="12" customHeight="1" x14ac:dyDescent="0.2">
      <c r="E1" s="48"/>
    </row>
    <row r="2" spans="2:6" ht="22.5" customHeight="1" x14ac:dyDescent="0.2">
      <c r="B2" s="91" t="s">
        <v>100</v>
      </c>
      <c r="C2" s="91"/>
      <c r="D2" s="91"/>
      <c r="E2" s="69" t="s">
        <v>124</v>
      </c>
      <c r="F2" s="76">
        <v>45978</v>
      </c>
    </row>
    <row r="3" spans="2:6" ht="18" customHeight="1" x14ac:dyDescent="0.2">
      <c r="E3" s="48"/>
    </row>
    <row r="4" spans="2:6" ht="18" customHeight="1" x14ac:dyDescent="0.2">
      <c r="B4" s="95" t="s">
        <v>54</v>
      </c>
      <c r="C4" s="95"/>
      <c r="D4" s="95"/>
      <c r="E4" s="95"/>
      <c r="F4" s="95"/>
    </row>
    <row r="5" spans="2:6" ht="18" customHeight="1" x14ac:dyDescent="0.2">
      <c r="B5" s="95" t="s">
        <v>55</v>
      </c>
      <c r="C5" s="95"/>
      <c r="D5" s="95"/>
      <c r="E5" s="95"/>
      <c r="F5" s="95"/>
    </row>
    <row r="6" spans="2:6" ht="18" customHeight="1" x14ac:dyDescent="0.2">
      <c r="B6" s="95" t="s">
        <v>56</v>
      </c>
      <c r="C6" s="95"/>
      <c r="D6" s="95"/>
      <c r="E6" s="95"/>
      <c r="F6" s="95"/>
    </row>
    <row r="7" spans="2:6" ht="18" customHeight="1" x14ac:dyDescent="0.2">
      <c r="B7" s="50"/>
      <c r="C7" s="50"/>
      <c r="D7" s="50"/>
      <c r="E7" s="50"/>
      <c r="F7" s="50"/>
    </row>
    <row r="8" spans="2:6" ht="18" customHeight="1" x14ac:dyDescent="0.2"/>
    <row r="9" spans="2:6" ht="18" customHeight="1" x14ac:dyDescent="0.3">
      <c r="B9" s="92" t="s">
        <v>57</v>
      </c>
      <c r="C9" s="92"/>
      <c r="D9" s="53" t="s">
        <v>58</v>
      </c>
    </row>
    <row r="10" spans="2:6" ht="18" customHeight="1" x14ac:dyDescent="0.3">
      <c r="B10" s="52"/>
      <c r="C10" s="53"/>
    </row>
    <row r="11" spans="2:6" ht="18" customHeight="1" x14ac:dyDescent="0.3">
      <c r="B11" s="92" t="s">
        <v>59</v>
      </c>
      <c r="C11" s="92"/>
      <c r="D11" s="93" t="s">
        <v>113</v>
      </c>
      <c r="E11" s="94"/>
      <c r="F11" s="94"/>
    </row>
    <row r="12" spans="2:6" ht="18" customHeight="1" x14ac:dyDescent="0.3">
      <c r="B12" s="52"/>
      <c r="C12" s="52"/>
      <c r="D12" s="54"/>
      <c r="E12" s="55"/>
      <c r="F12" s="55"/>
    </row>
    <row r="13" spans="2:6" ht="18" customHeight="1" x14ac:dyDescent="0.3">
      <c r="B13" s="92" t="s">
        <v>60</v>
      </c>
      <c r="C13" s="92"/>
      <c r="D13" s="93" t="s">
        <v>101</v>
      </c>
      <c r="E13" s="94"/>
      <c r="F13" s="94"/>
    </row>
    <row r="14" spans="2:6" ht="20.149999999999999" customHeight="1" x14ac:dyDescent="0.2">
      <c r="B14" s="96"/>
      <c r="C14" s="96"/>
      <c r="D14" s="97"/>
      <c r="E14" s="97"/>
      <c r="F14" s="57"/>
    </row>
    <row r="15" spans="2:6" ht="6" customHeight="1" x14ac:dyDescent="0.3">
      <c r="B15" s="59"/>
      <c r="C15" s="59"/>
      <c r="D15" s="60"/>
      <c r="E15" s="60"/>
      <c r="F15" s="60"/>
    </row>
    <row r="16" spans="2:6" ht="42.75" customHeight="1" x14ac:dyDescent="0.2">
      <c r="B16" s="98" t="s">
        <v>61</v>
      </c>
      <c r="C16" s="98"/>
      <c r="D16" s="99"/>
      <c r="E16" s="100"/>
      <c r="F16" s="101"/>
    </row>
    <row r="17" spans="2:6" ht="20.149999999999999" customHeight="1" x14ac:dyDescent="0.2">
      <c r="B17" s="48"/>
      <c r="D17" s="97"/>
      <c r="E17" s="97"/>
      <c r="F17" s="57"/>
    </row>
    <row r="18" spans="2:6" ht="20.149999999999999" customHeight="1" x14ac:dyDescent="0.2">
      <c r="B18" s="61" t="s">
        <v>62</v>
      </c>
      <c r="C18" s="102" t="s">
        <v>63</v>
      </c>
      <c r="D18" s="102"/>
      <c r="E18" s="102"/>
      <c r="F18" s="102"/>
    </row>
    <row r="19" spans="2:6" ht="20.149999999999999" customHeight="1" x14ac:dyDescent="0.2">
      <c r="B19" s="57"/>
      <c r="C19" s="102" t="s">
        <v>64</v>
      </c>
      <c r="D19" s="102"/>
      <c r="E19" s="102"/>
      <c r="F19" s="102"/>
    </row>
    <row r="20" spans="2:6" ht="20.149999999999999" customHeight="1" x14ac:dyDescent="0.2">
      <c r="B20" s="57"/>
      <c r="C20" s="102" t="s">
        <v>65</v>
      </c>
      <c r="D20" s="102"/>
      <c r="E20" s="102"/>
      <c r="F20" s="102"/>
    </row>
    <row r="21" spans="2:6" ht="20.149999999999999" customHeight="1" x14ac:dyDescent="0.2">
      <c r="B21" s="58"/>
      <c r="C21" s="102" t="s">
        <v>125</v>
      </c>
      <c r="D21" s="102"/>
      <c r="E21" s="102"/>
      <c r="F21" s="102"/>
    </row>
    <row r="22" spans="2:6" ht="20.149999999999999" customHeight="1" x14ac:dyDescent="0.2">
      <c r="B22" s="58"/>
      <c r="C22" s="75"/>
      <c r="D22" s="75"/>
      <c r="E22" s="75"/>
      <c r="F22" s="75"/>
    </row>
    <row r="23" spans="2:6" ht="22" customHeight="1" x14ac:dyDescent="0.2">
      <c r="B23" s="62" t="s">
        <v>66</v>
      </c>
      <c r="C23" s="62" t="s">
        <v>67</v>
      </c>
      <c r="D23" s="56"/>
      <c r="E23" s="56"/>
      <c r="F23" s="57"/>
    </row>
    <row r="24" spans="2:6" ht="22" customHeight="1" x14ac:dyDescent="0.2">
      <c r="B24" s="63" t="s">
        <v>68</v>
      </c>
      <c r="C24" s="64">
        <v>302000</v>
      </c>
      <c r="D24" s="56"/>
      <c r="F24" s="57"/>
    </row>
    <row r="25" spans="2:6" ht="22" customHeight="1" x14ac:dyDescent="0.2">
      <c r="B25" s="63" t="s">
        <v>69</v>
      </c>
      <c r="C25" s="64">
        <v>144300</v>
      </c>
      <c r="D25" s="56"/>
      <c r="F25" s="57"/>
    </row>
    <row r="26" spans="2:6" ht="22" customHeight="1" x14ac:dyDescent="0.2">
      <c r="B26" s="63" t="s">
        <v>70</v>
      </c>
      <c r="C26" s="64">
        <v>297000</v>
      </c>
      <c r="D26" s="56"/>
      <c r="F26" s="57"/>
    </row>
    <row r="27" spans="2:6" ht="22" customHeight="1" x14ac:dyDescent="0.2">
      <c r="B27" s="63" t="s">
        <v>71</v>
      </c>
      <c r="C27" s="65">
        <v>3600</v>
      </c>
      <c r="D27" s="56"/>
      <c r="F27" s="57"/>
    </row>
    <row r="28" spans="2:6" ht="22" customHeight="1" x14ac:dyDescent="0.2">
      <c r="B28" s="63" t="s">
        <v>72</v>
      </c>
      <c r="C28" s="65">
        <v>4000</v>
      </c>
      <c r="D28" s="56"/>
      <c r="F28" s="57"/>
    </row>
    <row r="29" spans="2:6" ht="22" customHeight="1" x14ac:dyDescent="0.2">
      <c r="B29" s="63" t="s">
        <v>73</v>
      </c>
      <c r="C29" s="65">
        <v>81000</v>
      </c>
      <c r="D29" s="56"/>
      <c r="E29" s="56"/>
      <c r="F29" s="57"/>
    </row>
    <row r="30" spans="2:6" ht="22" customHeight="1" x14ac:dyDescent="0.2">
      <c r="B30" s="63" t="s">
        <v>74</v>
      </c>
      <c r="C30" s="65">
        <v>4466</v>
      </c>
      <c r="D30" s="56"/>
      <c r="E30" s="56"/>
      <c r="F30" s="57"/>
    </row>
    <row r="31" spans="2:6" ht="22" customHeight="1" x14ac:dyDescent="0.2">
      <c r="B31" s="63"/>
      <c r="C31" s="65"/>
      <c r="D31" s="56"/>
      <c r="E31" s="56"/>
      <c r="F31" s="57"/>
    </row>
    <row r="32" spans="2:6" ht="20.149999999999999" customHeight="1" x14ac:dyDescent="0.2">
      <c r="B32" s="63"/>
      <c r="C32" s="65"/>
      <c r="D32" s="56"/>
      <c r="F32" s="68" t="s">
        <v>77</v>
      </c>
    </row>
    <row r="33" spans="2:6" ht="20.149999999999999" customHeight="1" x14ac:dyDescent="0.2">
      <c r="B33" s="63"/>
      <c r="C33" s="65"/>
      <c r="D33" s="56"/>
      <c r="F33" s="68" t="s">
        <v>78</v>
      </c>
    </row>
    <row r="34" spans="2:6" ht="20.149999999999999" customHeight="1" x14ac:dyDescent="0.2">
      <c r="B34" s="62" t="s">
        <v>75</v>
      </c>
      <c r="C34" s="65">
        <f>SUM(C24:C33)</f>
        <v>836366</v>
      </c>
      <c r="F34" s="68" t="s">
        <v>79</v>
      </c>
    </row>
    <row r="35" spans="2:6" ht="20.149999999999999" customHeight="1" x14ac:dyDescent="0.2">
      <c r="B35" s="102" t="s">
        <v>76</v>
      </c>
      <c r="C35" s="102"/>
      <c r="F35" s="68" t="s">
        <v>80</v>
      </c>
    </row>
    <row r="36" spans="2:6" ht="20.149999999999999" customHeight="1" x14ac:dyDescent="0.2">
      <c r="F36" s="69" t="s">
        <v>81</v>
      </c>
    </row>
    <row r="37" spans="2:6" ht="20.149999999999999" customHeight="1" x14ac:dyDescent="0.2">
      <c r="F37" s="66"/>
    </row>
    <row r="38" spans="2:6" ht="20.149999999999999" customHeight="1" x14ac:dyDescent="0.2">
      <c r="F38" s="67"/>
    </row>
  </sheetData>
  <mergeCells count="19">
    <mergeCell ref="D17:E17"/>
    <mergeCell ref="C18:F18"/>
    <mergeCell ref="C19:F19"/>
    <mergeCell ref="C20:F20"/>
    <mergeCell ref="B35:C35"/>
    <mergeCell ref="C21:F21"/>
    <mergeCell ref="B13:C13"/>
    <mergeCell ref="D13:F13"/>
    <mergeCell ref="B14:C14"/>
    <mergeCell ref="D14:E14"/>
    <mergeCell ref="B16:C16"/>
    <mergeCell ref="D16:F16"/>
    <mergeCell ref="B2:D2"/>
    <mergeCell ref="B11:C11"/>
    <mergeCell ref="D11:F11"/>
    <mergeCell ref="B4:F4"/>
    <mergeCell ref="B5:F5"/>
    <mergeCell ref="B6:F6"/>
    <mergeCell ref="B9:C9"/>
  </mergeCells>
  <phoneticPr fontId="1"/>
  <pageMargins left="0.70866141732283472" right="0.70866141732283472" top="0.74803149606299213" bottom="0.74803149606299213" header="0.31496062992125984" footer="0.31496062992125984"/>
  <pageSetup paperSize="9" scale="99" fitToHeight="0"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166ED-E041-4265-B37D-BB8B46389A50}">
  <sheetPr codeName="Sheet5">
    <tabColor theme="4"/>
  </sheetPr>
  <dimension ref="A1:AD28"/>
  <sheetViews>
    <sheetView showGridLines="0" zoomScaleNormal="100" workbookViewId="0"/>
  </sheetViews>
  <sheetFormatPr defaultColWidth="8.58203125" defaultRowHeight="18" customHeight="1" x14ac:dyDescent="0.55000000000000004"/>
  <cols>
    <col min="1" max="1" width="1.58203125" style="1" customWidth="1"/>
    <col min="2" max="2" width="9.58203125" style="1" bestFit="1" customWidth="1"/>
    <col min="3" max="4" width="23.33203125" style="1" bestFit="1" customWidth="1"/>
    <col min="5" max="5" width="15.5" style="1" bestFit="1" customWidth="1"/>
    <col min="6" max="7" width="6.58203125" style="1" bestFit="1" customWidth="1"/>
    <col min="8" max="8" width="8.33203125" style="1" bestFit="1" customWidth="1"/>
    <col min="9" max="19" width="8.33203125" style="1" customWidth="1"/>
    <col min="20" max="20" width="54.83203125" style="1" customWidth="1"/>
    <col min="21" max="23" width="12.58203125" style="1" customWidth="1"/>
    <col min="24" max="24" width="3.83203125" style="1" bestFit="1" customWidth="1"/>
    <col min="25" max="25" width="37" style="1" bestFit="1" customWidth="1"/>
    <col min="26" max="16384" width="8.58203125" style="1"/>
  </cols>
  <sheetData>
    <row r="1" spans="1:30" ht="28.5" x14ac:dyDescent="0.55000000000000004">
      <c r="A1" s="3" t="s">
        <v>12</v>
      </c>
      <c r="C1" s="6"/>
      <c r="AD1" s="1">
        <f>MAX(tblDay1[受付No.])</f>
        <v>0</v>
      </c>
    </row>
    <row r="2" spans="1:30" ht="5.15" customHeight="1" x14ac:dyDescent="0.55000000000000004">
      <c r="C2" s="9"/>
      <c r="D2" s="9"/>
      <c r="E2" s="9"/>
      <c r="F2" s="9"/>
      <c r="G2" s="9"/>
      <c r="H2" s="9"/>
      <c r="L2" s="9"/>
      <c r="M2" s="9"/>
      <c r="N2" s="9"/>
      <c r="O2" s="9"/>
      <c r="P2" s="9"/>
      <c r="Q2" s="9"/>
      <c r="R2" s="9"/>
      <c r="S2" s="9"/>
    </row>
    <row r="3" spans="1:30" ht="18" customHeight="1" x14ac:dyDescent="0.55000000000000004">
      <c r="B3" s="104"/>
      <c r="C3" s="104"/>
      <c r="E3" s="109" t="s">
        <v>0</v>
      </c>
      <c r="F3" s="109"/>
      <c r="G3" s="41" t="s">
        <v>37</v>
      </c>
      <c r="I3" s="42" t="s">
        <v>23</v>
      </c>
      <c r="J3" s="42" t="s">
        <v>37</v>
      </c>
      <c r="L3" s="45" t="s">
        <v>16</v>
      </c>
      <c r="M3" s="45" t="s">
        <v>37</v>
      </c>
      <c r="N3" s="45" t="s">
        <v>16</v>
      </c>
      <c r="O3" s="45" t="s">
        <v>37</v>
      </c>
    </row>
    <row r="4" spans="1:30" ht="16" customHeight="1" x14ac:dyDescent="0.55000000000000004">
      <c r="B4" s="104"/>
      <c r="C4" s="104"/>
      <c r="E4" s="103" t="s">
        <v>93</v>
      </c>
      <c r="F4" s="103"/>
      <c r="G4" s="38">
        <f>COUNTIF(tblDay1[コース],"A")</f>
        <v>0</v>
      </c>
      <c r="I4" s="39" t="s">
        <v>32</v>
      </c>
      <c r="J4" s="38">
        <f>COUNTA(tblDay1[2本])</f>
        <v>0</v>
      </c>
      <c r="L4" s="40" t="s">
        <v>24</v>
      </c>
      <c r="M4" s="38">
        <f>COUNTA(tblDay1[男性ｾｯﾄ])</f>
        <v>0</v>
      </c>
      <c r="N4" s="40" t="s">
        <v>28</v>
      </c>
      <c r="O4" s="38">
        <f>COUNTA(tblDay1[消化器])</f>
        <v>0</v>
      </c>
    </row>
    <row r="5" spans="1:30" ht="16" customHeight="1" x14ac:dyDescent="0.55000000000000004">
      <c r="E5" s="103" t="s">
        <v>94</v>
      </c>
      <c r="F5" s="103"/>
      <c r="G5" s="38">
        <f>COUNTIF(tblDay1[コース],"B")</f>
        <v>0</v>
      </c>
      <c r="I5" s="39" t="s">
        <v>33</v>
      </c>
      <c r="J5" s="38">
        <f>COUNTA(tblDay1[1本])</f>
        <v>0</v>
      </c>
      <c r="L5" s="40" t="s">
        <v>25</v>
      </c>
      <c r="M5" s="38">
        <f>COUNTA(tblDay1[PSA])</f>
        <v>0</v>
      </c>
      <c r="N5" s="40" t="s">
        <v>29</v>
      </c>
      <c r="O5" s="38">
        <f>COUNTA(tblDay1[脳梗塞])</f>
        <v>0</v>
      </c>
    </row>
    <row r="6" spans="1:30" ht="16" customHeight="1" x14ac:dyDescent="0.55000000000000004">
      <c r="B6" s="105" t="s">
        <v>46</v>
      </c>
      <c r="C6" s="107">
        <f>COUNTA(tblDay1[氏名])</f>
        <v>0</v>
      </c>
      <c r="E6" s="103" t="s">
        <v>95</v>
      </c>
      <c r="F6" s="103"/>
      <c r="G6" s="38">
        <f>COUNTIF(tblDay1[コース],"C")</f>
        <v>0</v>
      </c>
      <c r="I6" s="39" t="s">
        <v>34</v>
      </c>
      <c r="J6" s="38">
        <f>COUNTA(tblDay1[ｷｬﾝｾﾙ])</f>
        <v>0</v>
      </c>
      <c r="L6" s="40" t="s">
        <v>26</v>
      </c>
      <c r="M6" s="38">
        <f>COUNTA(tblDay1[BNP])</f>
        <v>0</v>
      </c>
      <c r="N6" s="40" t="s">
        <v>30</v>
      </c>
      <c r="O6" s="38">
        <f>COUNTA(tblDay1[ABC])</f>
        <v>0</v>
      </c>
    </row>
    <row r="7" spans="1:30" ht="16" customHeight="1" x14ac:dyDescent="0.55000000000000004">
      <c r="B7" s="106"/>
      <c r="C7" s="108"/>
      <c r="E7" s="103" t="s">
        <v>96</v>
      </c>
      <c r="F7" s="103"/>
      <c r="G7" s="38">
        <f>COUNTIF(tblDay1[コース],"D")</f>
        <v>0</v>
      </c>
      <c r="I7" s="16"/>
      <c r="J7" s="16"/>
      <c r="K7" s="16"/>
      <c r="L7" s="40" t="s">
        <v>27</v>
      </c>
      <c r="M7" s="38">
        <f>COUNTA(tblDay1[女性ｾｯﾄ])</f>
        <v>0</v>
      </c>
      <c r="N7" s="40" t="s">
        <v>31</v>
      </c>
      <c r="O7" s="38">
        <f>COUNTA(tblDay1[ｱﾚﾙｷﾞｰ])</f>
        <v>0</v>
      </c>
    </row>
    <row r="8" spans="1:30" ht="16" customHeight="1" x14ac:dyDescent="0.55000000000000004">
      <c r="B8"/>
      <c r="C8"/>
      <c r="E8" s="103" t="s">
        <v>97</v>
      </c>
      <c r="F8" s="103"/>
      <c r="G8" s="38">
        <f>COUNTIF(tblDay1[コース],"E")</f>
        <v>0</v>
      </c>
      <c r="I8" s="16"/>
      <c r="J8" s="16"/>
      <c r="K8" s="16"/>
      <c r="L8"/>
      <c r="M8"/>
      <c r="N8"/>
      <c r="O8"/>
      <c r="P8"/>
    </row>
    <row r="9" spans="1:30" ht="16" customHeight="1" x14ac:dyDescent="0.55000000000000004">
      <c r="B9"/>
      <c r="C9"/>
      <c r="E9" s="103" t="s">
        <v>98</v>
      </c>
      <c r="F9" s="103"/>
      <c r="G9" s="38">
        <f>COUNTIF(tblDay1[コース],"F")</f>
        <v>0</v>
      </c>
      <c r="I9" s="16"/>
      <c r="J9" s="16"/>
      <c r="K9" s="16"/>
      <c r="L9"/>
      <c r="M9"/>
      <c r="N9"/>
      <c r="O9"/>
      <c r="P9"/>
    </row>
    <row r="10" spans="1:30" ht="5.15" customHeight="1" x14ac:dyDescent="0.55000000000000004">
      <c r="C10" s="9"/>
      <c r="D10" s="9"/>
      <c r="I10" s="9"/>
      <c r="J10" s="9"/>
      <c r="K10" s="9"/>
      <c r="L10" s="9"/>
      <c r="M10" s="9"/>
      <c r="N10" s="9"/>
      <c r="O10" s="9"/>
      <c r="P10" s="9"/>
      <c r="Q10" s="9"/>
      <c r="R10" s="9"/>
      <c r="S10" s="9"/>
    </row>
    <row r="11" spans="1:30" ht="18" customHeight="1" x14ac:dyDescent="0.55000000000000004">
      <c r="C11" s="9"/>
      <c r="D11" s="9"/>
      <c r="E11" s="9"/>
      <c r="F11" s="9"/>
      <c r="G11" s="9"/>
      <c r="H11" s="9"/>
      <c r="I11" s="43" t="s">
        <v>23</v>
      </c>
      <c r="J11" s="43"/>
      <c r="K11" s="44"/>
      <c r="L11" s="46" t="s">
        <v>16</v>
      </c>
      <c r="M11" s="46"/>
      <c r="N11" s="46"/>
      <c r="O11" s="46"/>
      <c r="P11" s="46"/>
      <c r="Q11" s="46"/>
      <c r="R11" s="46"/>
      <c r="S11" s="46"/>
    </row>
    <row r="12" spans="1:30" ht="18" customHeight="1" x14ac:dyDescent="0.55000000000000004">
      <c r="B12" s="1" t="s">
        <v>13</v>
      </c>
      <c r="C12" s="1" t="s">
        <v>7</v>
      </c>
      <c r="D12" s="1" t="s">
        <v>8</v>
      </c>
      <c r="E12" s="1" t="s">
        <v>9</v>
      </c>
      <c r="F12" s="1" t="s">
        <v>6</v>
      </c>
      <c r="G12" s="1" t="s">
        <v>36</v>
      </c>
      <c r="H12" s="1" t="s">
        <v>0</v>
      </c>
      <c r="I12" s="17" t="s">
        <v>32</v>
      </c>
      <c r="J12" s="18" t="s">
        <v>33</v>
      </c>
      <c r="K12" s="19" t="s">
        <v>34</v>
      </c>
      <c r="L12" s="10" t="s">
        <v>24</v>
      </c>
      <c r="M12" s="11" t="s">
        <v>25</v>
      </c>
      <c r="N12" s="11" t="s">
        <v>26</v>
      </c>
      <c r="O12" s="11" t="s">
        <v>27</v>
      </c>
      <c r="P12" s="11" t="s">
        <v>28</v>
      </c>
      <c r="Q12" s="11" t="s">
        <v>29</v>
      </c>
      <c r="R12" s="11" t="s">
        <v>30</v>
      </c>
      <c r="S12" s="12" t="s">
        <v>31</v>
      </c>
      <c r="T12" s="1" t="s">
        <v>1</v>
      </c>
      <c r="U12" s="1" t="s">
        <v>126</v>
      </c>
      <c r="V12" s="1" t="s">
        <v>127</v>
      </c>
      <c r="W12" s="1" t="s">
        <v>128</v>
      </c>
    </row>
    <row r="13" spans="1:30" ht="18" customHeight="1" x14ac:dyDescent="0.55000000000000004">
      <c r="B13" s="4"/>
      <c r="C13" s="2"/>
      <c r="D13" s="2"/>
      <c r="E13" s="2" t="str">
        <f>IF(AND(tblDay1[[#This Row],[会社名]]="",tblDay1[[#This Row],[氏名]]=""),"",IFERROR(INDEX(受診者マスタ[カナ氏名],MATCH(tblDay1[[#This Row],[会社名]]&amp;"_"&amp;tblDay1[[#This Row],[氏名]],受診者マスタ[検索キー],0)),""))</f>
        <v/>
      </c>
      <c r="F13" s="2" t="str">
        <f>IF(AND(tblDay1[[#This Row],[会社名]]="",tblDay1[[#This Row],[氏名]]=""),"",IFERROR(INDEX(受診者マスタ[性別],MATCH(tblDay1[[#This Row],[会社名]]&amp;"_"&amp;tblDay1[[#This Row],[氏名]],受診者マスタ[検索キー],0)),""))</f>
        <v/>
      </c>
      <c r="G13" s="2" t="str">
        <f>IF(AND(tblDay1[[#This Row],[会社名]]="",tblDay1[[#This Row],[氏名]]=""),"",IFERROR(INDEX(受診者マスタ[年齢],MATCH(tblDay1[[#This Row],[会社名]]&amp;"_"&amp;tblDay1[[#This Row],[氏名]],受診者マスタ[検索キー],0)),""))</f>
        <v/>
      </c>
      <c r="H13" s="2" t="str">
        <f>IF(AND(tblDay1[[#This Row],[会社名]]="",tblDay1[[#This Row],[氏名]]=""),"",IFERROR(INDEX(受診者マスタ[検診コース],MATCH(tblDay1[[#This Row],[会社名]]&amp;"_"&amp;tblDay1[[#This Row],[氏名]],受診者マスタ[検索キー],0)),""))</f>
        <v/>
      </c>
      <c r="I13" s="13"/>
      <c r="J13" s="14"/>
      <c r="K13" s="15"/>
      <c r="L13" s="13"/>
      <c r="M13" s="14"/>
      <c r="N13" s="14"/>
      <c r="O13" s="14"/>
      <c r="P13" s="14"/>
      <c r="Q13" s="14"/>
      <c r="R13" s="14"/>
      <c r="S13" s="15"/>
      <c r="T13" s="79"/>
      <c r="U13" s="82" t="str">
        <f>IF(AND(tblDay1[[#This Row],[会社名]]="",tblDay1[[#This Row],[氏名]]=""),"",IFERROR(INDEX(受診者マスタ[フリー1],MATCH(tblDay1[[#This Row],[会社名]]&amp;"_"&amp;tblDay1[[#This Row],[氏名]],受診者マスタ[検索キー],0)),""))</f>
        <v/>
      </c>
      <c r="V13" s="82" t="str">
        <f>IF(AND(tblDay1[[#This Row],[会社名]]="",tblDay1[[#This Row],[氏名]]=""),"",IFERROR(INDEX(受診者マスタ[フリー2],MATCH(tblDay1[[#This Row],[会社名]]&amp;"_"&amp;tblDay1[[#This Row],[氏名]],受診者マスタ[検索キー],0)),""))</f>
        <v/>
      </c>
      <c r="W13" s="82" t="str">
        <f>IF(AND(tblDay1[[#This Row],[会社名]]="",tblDay1[[#This Row],[氏名]]=""),"",IFERROR(INDEX(受診者マスタ[フリー3],MATCH(tblDay1[[#This Row],[会社名]]&amp;"_"&amp;tblDay1[[#This Row],[氏名]],受診者マスタ[検索キー],0)),""))</f>
        <v/>
      </c>
    </row>
    <row r="14" spans="1:30" ht="18" customHeight="1" x14ac:dyDescent="0.55000000000000004">
      <c r="B14" s="4"/>
      <c r="C14" s="2"/>
      <c r="D14" s="2"/>
      <c r="E14" s="2" t="str">
        <f>IF(AND(tblDay1[[#This Row],[会社名]]="",tblDay1[[#This Row],[氏名]]=""),"",IFERROR(INDEX(受診者マスタ[カナ氏名],MATCH(tblDay1[[#This Row],[会社名]]&amp;"_"&amp;tblDay1[[#This Row],[氏名]],受診者マスタ[検索キー],0)),""))</f>
        <v/>
      </c>
      <c r="F14" s="2" t="str">
        <f>IF(AND(tblDay1[[#This Row],[会社名]]="",tblDay1[[#This Row],[氏名]]=""),"",IFERROR(INDEX(受診者マスタ[性別],MATCH(tblDay1[[#This Row],[会社名]]&amp;"_"&amp;tblDay1[[#This Row],[氏名]],受診者マスタ[検索キー],0)),""))</f>
        <v/>
      </c>
      <c r="G14" s="2" t="str">
        <f>IF(AND(tblDay1[[#This Row],[会社名]]="",tblDay1[[#This Row],[氏名]]=""),"",IFERROR(INDEX(受診者マスタ[年齢],MATCH(tblDay1[[#This Row],[会社名]]&amp;"_"&amp;tblDay1[[#This Row],[氏名]],受診者マスタ[検索キー],0)),""))</f>
        <v/>
      </c>
      <c r="H14" s="2" t="str">
        <f>IF(AND(tblDay1[[#This Row],[会社名]]="",tblDay1[[#This Row],[氏名]]=""),"",IFERROR(INDEX(受診者マスタ[検診コース],MATCH(tblDay1[[#This Row],[会社名]]&amp;"_"&amp;tblDay1[[#This Row],[氏名]],受診者マスタ[検索キー],0)),""))</f>
        <v/>
      </c>
      <c r="I14" s="13"/>
      <c r="J14" s="14"/>
      <c r="K14" s="15"/>
      <c r="L14" s="13"/>
      <c r="M14" s="14"/>
      <c r="N14" s="14"/>
      <c r="O14" s="14"/>
      <c r="P14" s="14"/>
      <c r="Q14" s="14"/>
      <c r="R14" s="14"/>
      <c r="S14" s="15"/>
      <c r="T14" s="79"/>
      <c r="U14" s="82" t="str">
        <f>IF(AND(tblDay1[[#This Row],[会社名]]="",tblDay1[[#This Row],[氏名]]=""),"",IFERROR(INDEX(受診者マスタ[フリー1],MATCH(tblDay1[[#This Row],[会社名]]&amp;"_"&amp;tblDay1[[#This Row],[氏名]],受診者マスタ[検索キー],0)),""))</f>
        <v/>
      </c>
      <c r="V14" s="82" t="str">
        <f>IF(AND(tblDay1[[#This Row],[会社名]]="",tblDay1[[#This Row],[氏名]]=""),"",IFERROR(INDEX(受診者マスタ[フリー2],MATCH(tblDay1[[#This Row],[会社名]]&amp;"_"&amp;tblDay1[[#This Row],[氏名]],受診者マスタ[検索キー],0)),""))</f>
        <v/>
      </c>
      <c r="W14" s="82" t="str">
        <f>IF(AND(tblDay1[[#This Row],[会社名]]="",tblDay1[[#This Row],[氏名]]=""),"",IFERROR(INDEX(受診者マスタ[フリー3],MATCH(tblDay1[[#This Row],[会社名]]&amp;"_"&amp;tblDay1[[#This Row],[氏名]],受診者マスタ[検索キー],0)),""))</f>
        <v/>
      </c>
    </row>
    <row r="15" spans="1:30" ht="18" customHeight="1" x14ac:dyDescent="0.55000000000000004">
      <c r="B15" s="4"/>
      <c r="C15" s="2"/>
      <c r="D15" s="2"/>
      <c r="E15" s="2" t="str">
        <f>IF(AND(tblDay1[[#This Row],[会社名]]="",tblDay1[[#This Row],[氏名]]=""),"",IFERROR(INDEX(受診者マスタ[カナ氏名],MATCH(tblDay1[[#This Row],[会社名]]&amp;"_"&amp;tblDay1[[#This Row],[氏名]],受診者マスタ[検索キー],0)),""))</f>
        <v/>
      </c>
      <c r="F15" s="2" t="str">
        <f>IF(AND(tblDay1[[#This Row],[会社名]]="",tblDay1[[#This Row],[氏名]]=""),"",IFERROR(INDEX(受診者マスタ[性別],MATCH(tblDay1[[#This Row],[会社名]]&amp;"_"&amp;tblDay1[[#This Row],[氏名]],受診者マスタ[検索キー],0)),""))</f>
        <v/>
      </c>
      <c r="G15" s="2" t="str">
        <f>IF(AND(tblDay1[[#This Row],[会社名]]="",tblDay1[[#This Row],[氏名]]=""),"",IFERROR(INDEX(受診者マスタ[年齢],MATCH(tblDay1[[#This Row],[会社名]]&amp;"_"&amp;tblDay1[[#This Row],[氏名]],受診者マスタ[検索キー],0)),""))</f>
        <v/>
      </c>
      <c r="H15" s="2" t="str">
        <f>IF(AND(tblDay1[[#This Row],[会社名]]="",tblDay1[[#This Row],[氏名]]=""),"",IFERROR(INDEX(受診者マスタ[検診コース],MATCH(tblDay1[[#This Row],[会社名]]&amp;"_"&amp;tblDay1[[#This Row],[氏名]],受診者マスタ[検索キー],0)),""))</f>
        <v/>
      </c>
      <c r="I15" s="13"/>
      <c r="J15" s="14"/>
      <c r="K15" s="15"/>
      <c r="L15" s="13"/>
      <c r="M15" s="14"/>
      <c r="N15" s="14"/>
      <c r="O15" s="14"/>
      <c r="P15" s="14"/>
      <c r="Q15" s="14"/>
      <c r="R15" s="14"/>
      <c r="S15" s="15"/>
      <c r="T15" s="79"/>
      <c r="U15" s="82" t="str">
        <f>IF(AND(tblDay1[[#This Row],[会社名]]="",tblDay1[[#This Row],[氏名]]=""),"",IFERROR(INDEX(受診者マスタ[フリー1],MATCH(tblDay1[[#This Row],[会社名]]&amp;"_"&amp;tblDay1[[#This Row],[氏名]],受診者マスタ[検索キー],0)),""))</f>
        <v/>
      </c>
      <c r="V15" s="82" t="str">
        <f>IF(AND(tblDay1[[#This Row],[会社名]]="",tblDay1[[#This Row],[氏名]]=""),"",IFERROR(INDEX(受診者マスタ[フリー2],MATCH(tblDay1[[#This Row],[会社名]]&amp;"_"&amp;tblDay1[[#This Row],[氏名]],受診者マスタ[検索キー],0)),""))</f>
        <v/>
      </c>
      <c r="W15" s="82" t="str">
        <f>IF(AND(tblDay1[[#This Row],[会社名]]="",tblDay1[[#This Row],[氏名]]=""),"",IFERROR(INDEX(受診者マスタ[フリー3],MATCH(tblDay1[[#This Row],[会社名]]&amp;"_"&amp;tblDay1[[#This Row],[氏名]],受診者マスタ[検索キー],0)),""))</f>
        <v/>
      </c>
    </row>
    <row r="16" spans="1:30" ht="18" customHeight="1" x14ac:dyDescent="0.55000000000000004">
      <c r="B16" s="4"/>
      <c r="C16" s="2"/>
      <c r="D16" s="2"/>
      <c r="E16" s="2" t="str">
        <f>IF(AND(tblDay1[[#This Row],[会社名]]="",tblDay1[[#This Row],[氏名]]=""),"",IFERROR(INDEX(受診者マスタ[カナ氏名],MATCH(tblDay1[[#This Row],[会社名]]&amp;"_"&amp;tblDay1[[#This Row],[氏名]],受診者マスタ[検索キー],0)),""))</f>
        <v/>
      </c>
      <c r="F16" s="2" t="str">
        <f>IF(AND(tblDay1[[#This Row],[会社名]]="",tblDay1[[#This Row],[氏名]]=""),"",IFERROR(INDEX(受診者マスタ[性別],MATCH(tblDay1[[#This Row],[会社名]]&amp;"_"&amp;tblDay1[[#This Row],[氏名]],受診者マスタ[検索キー],0)),""))</f>
        <v/>
      </c>
      <c r="G16" s="2" t="str">
        <f>IF(AND(tblDay1[[#This Row],[会社名]]="",tblDay1[[#This Row],[氏名]]=""),"",IFERROR(INDEX(受診者マスタ[年齢],MATCH(tblDay1[[#This Row],[会社名]]&amp;"_"&amp;tblDay1[[#This Row],[氏名]],受診者マスタ[検索キー],0)),""))</f>
        <v/>
      </c>
      <c r="H16" s="2" t="str">
        <f>IF(AND(tblDay1[[#This Row],[会社名]]="",tblDay1[[#This Row],[氏名]]=""),"",IFERROR(INDEX(受診者マスタ[検診コース],MATCH(tblDay1[[#This Row],[会社名]]&amp;"_"&amp;tblDay1[[#This Row],[氏名]],受診者マスタ[検索キー],0)),""))</f>
        <v/>
      </c>
      <c r="I16" s="13"/>
      <c r="J16" s="14"/>
      <c r="K16" s="15"/>
      <c r="L16" s="13"/>
      <c r="M16" s="14"/>
      <c r="N16" s="14"/>
      <c r="O16" s="14"/>
      <c r="P16" s="14"/>
      <c r="Q16" s="14"/>
      <c r="R16" s="14"/>
      <c r="S16" s="15"/>
      <c r="T16" s="79"/>
      <c r="U16" s="82" t="str">
        <f>IF(AND(tblDay1[[#This Row],[会社名]]="",tblDay1[[#This Row],[氏名]]=""),"",IFERROR(INDEX(受診者マスタ[フリー1],MATCH(tblDay1[[#This Row],[会社名]]&amp;"_"&amp;tblDay1[[#This Row],[氏名]],受診者マスタ[検索キー],0)),""))</f>
        <v/>
      </c>
      <c r="V16" s="82" t="str">
        <f>IF(AND(tblDay1[[#This Row],[会社名]]="",tblDay1[[#This Row],[氏名]]=""),"",IFERROR(INDEX(受診者マスタ[フリー2],MATCH(tblDay1[[#This Row],[会社名]]&amp;"_"&amp;tblDay1[[#This Row],[氏名]],受診者マスタ[検索キー],0)),""))</f>
        <v/>
      </c>
      <c r="W16" s="82" t="str">
        <f>IF(AND(tblDay1[[#This Row],[会社名]]="",tblDay1[[#This Row],[氏名]]=""),"",IFERROR(INDEX(受診者マスタ[フリー3],MATCH(tblDay1[[#This Row],[会社名]]&amp;"_"&amp;tblDay1[[#This Row],[氏名]],受診者マスタ[検索キー],0)),""))</f>
        <v/>
      </c>
    </row>
    <row r="17" spans="2:23" ht="18" customHeight="1" x14ac:dyDescent="0.55000000000000004">
      <c r="B17" s="4"/>
      <c r="C17" s="2"/>
      <c r="D17" s="2"/>
      <c r="E17" s="2" t="str">
        <f>IF(AND(tblDay1[[#This Row],[会社名]]="",tblDay1[[#This Row],[氏名]]=""),"",IFERROR(INDEX(受診者マスタ[カナ氏名],MATCH(tblDay1[[#This Row],[会社名]]&amp;"_"&amp;tblDay1[[#This Row],[氏名]],受診者マスタ[検索キー],0)),""))</f>
        <v/>
      </c>
      <c r="F17" s="2" t="str">
        <f>IF(AND(tblDay1[[#This Row],[会社名]]="",tblDay1[[#This Row],[氏名]]=""),"",IFERROR(INDEX(受診者マスタ[性別],MATCH(tblDay1[[#This Row],[会社名]]&amp;"_"&amp;tblDay1[[#This Row],[氏名]],受診者マスタ[検索キー],0)),""))</f>
        <v/>
      </c>
      <c r="G17" s="2" t="str">
        <f>IF(AND(tblDay1[[#This Row],[会社名]]="",tblDay1[[#This Row],[氏名]]=""),"",IFERROR(INDEX(受診者マスタ[年齢],MATCH(tblDay1[[#This Row],[会社名]]&amp;"_"&amp;tblDay1[[#This Row],[氏名]],受診者マスタ[検索キー],0)),""))</f>
        <v/>
      </c>
      <c r="H17" s="2" t="str">
        <f>IF(AND(tblDay1[[#This Row],[会社名]]="",tblDay1[[#This Row],[氏名]]=""),"",IFERROR(INDEX(受診者マスタ[検診コース],MATCH(tblDay1[[#This Row],[会社名]]&amp;"_"&amp;tblDay1[[#This Row],[氏名]],受診者マスタ[検索キー],0)),""))</f>
        <v/>
      </c>
      <c r="I17" s="13"/>
      <c r="J17" s="14"/>
      <c r="K17" s="15"/>
      <c r="L17" s="13"/>
      <c r="M17" s="14"/>
      <c r="N17" s="14"/>
      <c r="O17" s="14"/>
      <c r="P17" s="14"/>
      <c r="Q17" s="14"/>
      <c r="R17" s="14"/>
      <c r="S17" s="15"/>
      <c r="T17" s="79"/>
      <c r="U17" s="82" t="str">
        <f>IF(AND(tblDay1[[#This Row],[会社名]]="",tblDay1[[#This Row],[氏名]]=""),"",IFERROR(INDEX(受診者マスタ[フリー1],MATCH(tblDay1[[#This Row],[会社名]]&amp;"_"&amp;tblDay1[[#This Row],[氏名]],受診者マスタ[検索キー],0)),""))</f>
        <v/>
      </c>
      <c r="V17" s="82" t="str">
        <f>IF(AND(tblDay1[[#This Row],[会社名]]="",tblDay1[[#This Row],[氏名]]=""),"",IFERROR(INDEX(受診者マスタ[フリー2],MATCH(tblDay1[[#This Row],[会社名]]&amp;"_"&amp;tblDay1[[#This Row],[氏名]],受診者マスタ[検索キー],0)),""))</f>
        <v/>
      </c>
      <c r="W17" s="82" t="str">
        <f>IF(AND(tblDay1[[#This Row],[会社名]]="",tblDay1[[#This Row],[氏名]]=""),"",IFERROR(INDEX(受診者マスタ[フリー3],MATCH(tblDay1[[#This Row],[会社名]]&amp;"_"&amp;tblDay1[[#This Row],[氏名]],受診者マスタ[検索キー],0)),""))</f>
        <v/>
      </c>
    </row>
    <row r="18" spans="2:23" ht="18" customHeight="1" x14ac:dyDescent="0.55000000000000004">
      <c r="B18" s="4"/>
      <c r="C18" s="2"/>
      <c r="D18" s="2"/>
      <c r="E18" s="2" t="str">
        <f>IF(AND(tblDay1[[#This Row],[会社名]]="",tblDay1[[#This Row],[氏名]]=""),"",IFERROR(INDEX(受診者マスタ[カナ氏名],MATCH(tblDay1[[#This Row],[会社名]]&amp;"_"&amp;tblDay1[[#This Row],[氏名]],受診者マスタ[検索キー],0)),""))</f>
        <v/>
      </c>
      <c r="F18" s="2" t="str">
        <f>IF(AND(tblDay1[[#This Row],[会社名]]="",tblDay1[[#This Row],[氏名]]=""),"",IFERROR(INDEX(受診者マスタ[性別],MATCH(tblDay1[[#This Row],[会社名]]&amp;"_"&amp;tblDay1[[#This Row],[氏名]],受診者マスタ[検索キー],0)),""))</f>
        <v/>
      </c>
      <c r="G18" s="2" t="str">
        <f>IF(AND(tblDay1[[#This Row],[会社名]]="",tblDay1[[#This Row],[氏名]]=""),"",IFERROR(INDEX(受診者マスタ[年齢],MATCH(tblDay1[[#This Row],[会社名]]&amp;"_"&amp;tblDay1[[#This Row],[氏名]],受診者マスタ[検索キー],0)),""))</f>
        <v/>
      </c>
      <c r="H18" s="2" t="str">
        <f>IF(AND(tblDay1[[#This Row],[会社名]]="",tblDay1[[#This Row],[氏名]]=""),"",IFERROR(INDEX(受診者マスタ[検診コース],MATCH(tblDay1[[#This Row],[会社名]]&amp;"_"&amp;tblDay1[[#This Row],[氏名]],受診者マスタ[検索キー],0)),""))</f>
        <v/>
      </c>
      <c r="I18" s="13"/>
      <c r="J18" s="14"/>
      <c r="K18" s="15"/>
      <c r="L18" s="13"/>
      <c r="M18" s="14"/>
      <c r="N18" s="14"/>
      <c r="O18" s="14"/>
      <c r="P18" s="14"/>
      <c r="Q18" s="14"/>
      <c r="R18" s="14"/>
      <c r="S18" s="15"/>
      <c r="T18" s="79"/>
      <c r="U18" s="82" t="str">
        <f>IF(AND(tblDay1[[#This Row],[会社名]]="",tblDay1[[#This Row],[氏名]]=""),"",IFERROR(INDEX(受診者マスタ[フリー1],MATCH(tblDay1[[#This Row],[会社名]]&amp;"_"&amp;tblDay1[[#This Row],[氏名]],受診者マスタ[検索キー],0)),""))</f>
        <v/>
      </c>
      <c r="V18" s="82" t="str">
        <f>IF(AND(tblDay1[[#This Row],[会社名]]="",tblDay1[[#This Row],[氏名]]=""),"",IFERROR(INDEX(受診者マスタ[フリー2],MATCH(tblDay1[[#This Row],[会社名]]&amp;"_"&amp;tblDay1[[#This Row],[氏名]],受診者マスタ[検索キー],0)),""))</f>
        <v/>
      </c>
      <c r="W18" s="82" t="str">
        <f>IF(AND(tblDay1[[#This Row],[会社名]]="",tblDay1[[#This Row],[氏名]]=""),"",IFERROR(INDEX(受診者マスタ[フリー3],MATCH(tblDay1[[#This Row],[会社名]]&amp;"_"&amp;tblDay1[[#This Row],[氏名]],受診者マスタ[検索キー],0)),""))</f>
        <v/>
      </c>
    </row>
    <row r="19" spans="2:23" ht="18" customHeight="1" x14ac:dyDescent="0.55000000000000004">
      <c r="B19" s="4"/>
      <c r="C19" s="2"/>
      <c r="D19" s="2"/>
      <c r="E19" s="2" t="str">
        <f>IF(AND(tblDay1[[#This Row],[会社名]]="",tblDay1[[#This Row],[氏名]]=""),"",IFERROR(INDEX(受診者マスタ[カナ氏名],MATCH(tblDay1[[#This Row],[会社名]]&amp;"_"&amp;tblDay1[[#This Row],[氏名]],受診者マスタ[検索キー],0)),""))</f>
        <v/>
      </c>
      <c r="F19" s="2" t="str">
        <f>IF(AND(tblDay1[[#This Row],[会社名]]="",tblDay1[[#This Row],[氏名]]=""),"",IFERROR(INDEX(受診者マスタ[性別],MATCH(tblDay1[[#This Row],[会社名]]&amp;"_"&amp;tblDay1[[#This Row],[氏名]],受診者マスタ[検索キー],0)),""))</f>
        <v/>
      </c>
      <c r="G19" s="2" t="str">
        <f>IF(AND(tblDay1[[#This Row],[会社名]]="",tblDay1[[#This Row],[氏名]]=""),"",IFERROR(INDEX(受診者マスタ[年齢],MATCH(tblDay1[[#This Row],[会社名]]&amp;"_"&amp;tblDay1[[#This Row],[氏名]],受診者マスタ[検索キー],0)),""))</f>
        <v/>
      </c>
      <c r="H19" s="2" t="str">
        <f>IF(AND(tblDay1[[#This Row],[会社名]]="",tblDay1[[#This Row],[氏名]]=""),"",IFERROR(INDEX(受診者マスタ[検診コース],MATCH(tblDay1[[#This Row],[会社名]]&amp;"_"&amp;tblDay1[[#This Row],[氏名]],受診者マスタ[検索キー],0)),""))</f>
        <v/>
      </c>
      <c r="I19" s="13"/>
      <c r="J19" s="14"/>
      <c r="K19" s="15"/>
      <c r="L19" s="13"/>
      <c r="M19" s="14"/>
      <c r="N19" s="14"/>
      <c r="O19" s="14"/>
      <c r="P19" s="14"/>
      <c r="Q19" s="14"/>
      <c r="R19" s="14"/>
      <c r="S19" s="15"/>
      <c r="T19" s="79"/>
      <c r="U19" s="82" t="str">
        <f>IF(AND(tblDay1[[#This Row],[会社名]]="",tblDay1[[#This Row],[氏名]]=""),"",IFERROR(INDEX(受診者マスタ[フリー1],MATCH(tblDay1[[#This Row],[会社名]]&amp;"_"&amp;tblDay1[[#This Row],[氏名]],受診者マスタ[検索キー],0)),""))</f>
        <v/>
      </c>
      <c r="V19" s="82" t="str">
        <f>IF(AND(tblDay1[[#This Row],[会社名]]="",tblDay1[[#This Row],[氏名]]=""),"",IFERROR(INDEX(受診者マスタ[フリー2],MATCH(tblDay1[[#This Row],[会社名]]&amp;"_"&amp;tblDay1[[#This Row],[氏名]],受診者マスタ[検索キー],0)),""))</f>
        <v/>
      </c>
      <c r="W19" s="82" t="str">
        <f>IF(AND(tblDay1[[#This Row],[会社名]]="",tblDay1[[#This Row],[氏名]]=""),"",IFERROR(INDEX(受診者マスタ[フリー3],MATCH(tblDay1[[#This Row],[会社名]]&amp;"_"&amp;tblDay1[[#This Row],[氏名]],受診者マスタ[検索キー],0)),""))</f>
        <v/>
      </c>
    </row>
    <row r="20" spans="2:23" ht="18" customHeight="1" x14ac:dyDescent="0.55000000000000004">
      <c r="B20" s="4"/>
      <c r="C20" s="2"/>
      <c r="D20" s="2"/>
      <c r="E20" s="2" t="str">
        <f>IF(AND(tblDay1[[#This Row],[会社名]]="",tblDay1[[#This Row],[氏名]]=""),"",IFERROR(INDEX(受診者マスタ[カナ氏名],MATCH(tblDay1[[#This Row],[会社名]]&amp;"_"&amp;tblDay1[[#This Row],[氏名]],受診者マスタ[検索キー],0)),""))</f>
        <v/>
      </c>
      <c r="F20" s="2" t="str">
        <f>IF(AND(tblDay1[[#This Row],[会社名]]="",tblDay1[[#This Row],[氏名]]=""),"",IFERROR(INDEX(受診者マスタ[性別],MATCH(tblDay1[[#This Row],[会社名]]&amp;"_"&amp;tblDay1[[#This Row],[氏名]],受診者マスタ[検索キー],0)),""))</f>
        <v/>
      </c>
      <c r="G20" s="2" t="str">
        <f>IF(AND(tblDay1[[#This Row],[会社名]]="",tblDay1[[#This Row],[氏名]]=""),"",IFERROR(INDEX(受診者マスタ[年齢],MATCH(tblDay1[[#This Row],[会社名]]&amp;"_"&amp;tblDay1[[#This Row],[氏名]],受診者マスタ[検索キー],0)),""))</f>
        <v/>
      </c>
      <c r="H20" s="2" t="str">
        <f>IF(AND(tblDay1[[#This Row],[会社名]]="",tblDay1[[#This Row],[氏名]]=""),"",IFERROR(INDEX(受診者マスタ[検診コース],MATCH(tblDay1[[#This Row],[会社名]]&amp;"_"&amp;tblDay1[[#This Row],[氏名]],受診者マスタ[検索キー],0)),""))</f>
        <v/>
      </c>
      <c r="I20" s="13"/>
      <c r="J20" s="14"/>
      <c r="K20" s="15"/>
      <c r="L20" s="13"/>
      <c r="M20" s="14"/>
      <c r="N20" s="14"/>
      <c r="O20" s="14"/>
      <c r="P20" s="14"/>
      <c r="Q20" s="14"/>
      <c r="R20" s="14"/>
      <c r="S20" s="15"/>
      <c r="T20" s="79"/>
      <c r="U20" s="82" t="str">
        <f>IF(AND(tblDay1[[#This Row],[会社名]]="",tblDay1[[#This Row],[氏名]]=""),"",IFERROR(INDEX(受診者マスタ[フリー1],MATCH(tblDay1[[#This Row],[会社名]]&amp;"_"&amp;tblDay1[[#This Row],[氏名]],受診者マスタ[検索キー],0)),""))</f>
        <v/>
      </c>
      <c r="V20" s="82" t="str">
        <f>IF(AND(tblDay1[[#This Row],[会社名]]="",tblDay1[[#This Row],[氏名]]=""),"",IFERROR(INDEX(受診者マスタ[フリー2],MATCH(tblDay1[[#This Row],[会社名]]&amp;"_"&amp;tblDay1[[#This Row],[氏名]],受診者マスタ[検索キー],0)),""))</f>
        <v/>
      </c>
      <c r="W20" s="82" t="str">
        <f>IF(AND(tblDay1[[#This Row],[会社名]]="",tblDay1[[#This Row],[氏名]]=""),"",IFERROR(INDEX(受診者マスタ[フリー3],MATCH(tblDay1[[#This Row],[会社名]]&amp;"_"&amp;tblDay1[[#This Row],[氏名]],受診者マスタ[検索キー],0)),""))</f>
        <v/>
      </c>
    </row>
    <row r="21" spans="2:23" ht="18" customHeight="1" x14ac:dyDescent="0.55000000000000004">
      <c r="B21" s="4"/>
      <c r="C21" s="2"/>
      <c r="D21" s="2"/>
      <c r="E21" s="2" t="str">
        <f>IF(AND(tblDay1[[#This Row],[会社名]]="",tblDay1[[#This Row],[氏名]]=""),"",IFERROR(INDEX(受診者マスタ[カナ氏名],MATCH(tblDay1[[#This Row],[会社名]]&amp;"_"&amp;tblDay1[[#This Row],[氏名]],受診者マスタ[検索キー],0)),""))</f>
        <v/>
      </c>
      <c r="F21" s="2" t="str">
        <f>IF(AND(tblDay1[[#This Row],[会社名]]="",tblDay1[[#This Row],[氏名]]=""),"",IFERROR(INDEX(受診者マスタ[性別],MATCH(tblDay1[[#This Row],[会社名]]&amp;"_"&amp;tblDay1[[#This Row],[氏名]],受診者マスタ[検索キー],0)),""))</f>
        <v/>
      </c>
      <c r="G21" s="2" t="str">
        <f>IF(AND(tblDay1[[#This Row],[会社名]]="",tblDay1[[#This Row],[氏名]]=""),"",IFERROR(INDEX(受診者マスタ[年齢],MATCH(tblDay1[[#This Row],[会社名]]&amp;"_"&amp;tblDay1[[#This Row],[氏名]],受診者マスタ[検索キー],0)),""))</f>
        <v/>
      </c>
      <c r="H21" s="2" t="str">
        <f>IF(AND(tblDay1[[#This Row],[会社名]]="",tblDay1[[#This Row],[氏名]]=""),"",IFERROR(INDEX(受診者マスタ[検診コース],MATCH(tblDay1[[#This Row],[会社名]]&amp;"_"&amp;tblDay1[[#This Row],[氏名]],受診者マスタ[検索キー],0)),""))</f>
        <v/>
      </c>
      <c r="I21" s="13"/>
      <c r="J21" s="14"/>
      <c r="K21" s="15"/>
      <c r="L21" s="13"/>
      <c r="M21" s="14"/>
      <c r="N21" s="14"/>
      <c r="O21" s="14"/>
      <c r="P21" s="14"/>
      <c r="Q21" s="14"/>
      <c r="R21" s="14"/>
      <c r="S21" s="15"/>
      <c r="T21" s="79"/>
      <c r="U21" s="82" t="str">
        <f>IF(AND(tblDay1[[#This Row],[会社名]]="",tblDay1[[#This Row],[氏名]]=""),"",IFERROR(INDEX(受診者マスタ[フリー1],MATCH(tblDay1[[#This Row],[会社名]]&amp;"_"&amp;tblDay1[[#This Row],[氏名]],受診者マスタ[検索キー],0)),""))</f>
        <v/>
      </c>
      <c r="V21" s="82" t="str">
        <f>IF(AND(tblDay1[[#This Row],[会社名]]="",tblDay1[[#This Row],[氏名]]=""),"",IFERROR(INDEX(受診者マスタ[フリー2],MATCH(tblDay1[[#This Row],[会社名]]&amp;"_"&amp;tblDay1[[#This Row],[氏名]],受診者マスタ[検索キー],0)),""))</f>
        <v/>
      </c>
      <c r="W21" s="82" t="str">
        <f>IF(AND(tblDay1[[#This Row],[会社名]]="",tblDay1[[#This Row],[氏名]]=""),"",IFERROR(INDEX(受診者マスタ[フリー3],MATCH(tblDay1[[#This Row],[会社名]]&amp;"_"&amp;tblDay1[[#This Row],[氏名]],受診者マスタ[検索キー],0)),""))</f>
        <v/>
      </c>
    </row>
    <row r="22" spans="2:23" ht="18" customHeight="1" x14ac:dyDescent="0.55000000000000004">
      <c r="B22" s="4"/>
      <c r="C22" s="2"/>
      <c r="D22" s="2"/>
      <c r="E22" s="2" t="str">
        <f>IF(AND(tblDay1[[#This Row],[会社名]]="",tblDay1[[#This Row],[氏名]]=""),"",IFERROR(INDEX(受診者マスタ[カナ氏名],MATCH(tblDay1[[#This Row],[会社名]]&amp;"_"&amp;tblDay1[[#This Row],[氏名]],受診者マスタ[検索キー],0)),""))</f>
        <v/>
      </c>
      <c r="F22" s="2" t="str">
        <f>IF(AND(tblDay1[[#This Row],[会社名]]="",tblDay1[[#This Row],[氏名]]=""),"",IFERROR(INDEX(受診者マスタ[性別],MATCH(tblDay1[[#This Row],[会社名]]&amp;"_"&amp;tblDay1[[#This Row],[氏名]],受診者マスタ[検索キー],0)),""))</f>
        <v/>
      </c>
      <c r="G22" s="2" t="str">
        <f>IF(AND(tblDay1[[#This Row],[会社名]]="",tblDay1[[#This Row],[氏名]]=""),"",IFERROR(INDEX(受診者マスタ[年齢],MATCH(tblDay1[[#This Row],[会社名]]&amp;"_"&amp;tblDay1[[#This Row],[氏名]],受診者マスタ[検索キー],0)),""))</f>
        <v/>
      </c>
      <c r="H22" s="2" t="str">
        <f>IF(AND(tblDay1[[#This Row],[会社名]]="",tblDay1[[#This Row],[氏名]]=""),"",IFERROR(INDEX(受診者マスタ[検診コース],MATCH(tblDay1[[#This Row],[会社名]]&amp;"_"&amp;tblDay1[[#This Row],[氏名]],受診者マスタ[検索キー],0)),""))</f>
        <v/>
      </c>
      <c r="I22" s="13"/>
      <c r="J22" s="14"/>
      <c r="K22" s="15"/>
      <c r="L22" s="13"/>
      <c r="M22" s="14"/>
      <c r="N22" s="14"/>
      <c r="O22" s="14"/>
      <c r="P22" s="14"/>
      <c r="Q22" s="14"/>
      <c r="R22" s="14"/>
      <c r="S22" s="15"/>
      <c r="T22" s="79"/>
      <c r="U22" s="82" t="str">
        <f>IF(AND(tblDay1[[#This Row],[会社名]]="",tblDay1[[#This Row],[氏名]]=""),"",IFERROR(INDEX(受診者マスタ[フリー1],MATCH(tblDay1[[#This Row],[会社名]]&amp;"_"&amp;tblDay1[[#This Row],[氏名]],受診者マスタ[検索キー],0)),""))</f>
        <v/>
      </c>
      <c r="V22" s="82" t="str">
        <f>IF(AND(tblDay1[[#This Row],[会社名]]="",tblDay1[[#This Row],[氏名]]=""),"",IFERROR(INDEX(受診者マスタ[フリー2],MATCH(tblDay1[[#This Row],[会社名]]&amp;"_"&amp;tblDay1[[#This Row],[氏名]],受診者マスタ[検索キー],0)),""))</f>
        <v/>
      </c>
      <c r="W22" s="82" t="str">
        <f>IF(AND(tblDay1[[#This Row],[会社名]]="",tblDay1[[#This Row],[氏名]]=""),"",IFERROR(INDEX(受診者マスタ[フリー3],MATCH(tblDay1[[#This Row],[会社名]]&amp;"_"&amp;tblDay1[[#This Row],[氏名]],受診者マスタ[検索キー],0)),""))</f>
        <v/>
      </c>
    </row>
    <row r="23" spans="2:23" ht="18" customHeight="1" x14ac:dyDescent="0.55000000000000004">
      <c r="B23" s="4" t="s">
        <v>35</v>
      </c>
      <c r="C23" s="2">
        <f>SUBTOTAL(103,tblDay1[会社名])</f>
        <v>0</v>
      </c>
      <c r="D23" s="2"/>
      <c r="E23" s="2"/>
      <c r="F23" s="2"/>
      <c r="G23" s="2"/>
      <c r="H23" s="2"/>
      <c r="I23" s="13">
        <f>SUBTOTAL(103,tblDay1[2本])</f>
        <v>0</v>
      </c>
      <c r="J23" s="14">
        <f>SUBTOTAL(103,tblDay1[1本])</f>
        <v>0</v>
      </c>
      <c r="K23" s="15">
        <f>SUBTOTAL(103,tblDay1[ｷｬﾝｾﾙ])</f>
        <v>0</v>
      </c>
      <c r="L23" s="13">
        <f>SUBTOTAL(103,tblDay1[男性ｾｯﾄ])</f>
        <v>0</v>
      </c>
      <c r="M23" s="14">
        <f>SUBTOTAL(103,tblDay1[PSA])</f>
        <v>0</v>
      </c>
      <c r="N23" s="14">
        <f>SUBTOTAL(103,tblDay1[BNP])</f>
        <v>0</v>
      </c>
      <c r="O23" s="14">
        <f>SUBTOTAL(103,tblDay1[女性ｾｯﾄ])</f>
        <v>0</v>
      </c>
      <c r="P23" s="14">
        <f>SUBTOTAL(103,tblDay1[消化器])</f>
        <v>0</v>
      </c>
      <c r="Q23" s="14">
        <f>SUBTOTAL(103,tblDay1[脳梗塞])</f>
        <v>0</v>
      </c>
      <c r="R23" s="14">
        <f>SUBTOTAL(103,tblDay1[ABC])</f>
        <v>0</v>
      </c>
      <c r="S23" s="15">
        <f>SUBTOTAL(103,tblDay1[ｱﾚﾙｷﾞｰ])</f>
        <v>0</v>
      </c>
      <c r="T23" s="2"/>
      <c r="U23" s="14"/>
      <c r="V23" s="14"/>
      <c r="W23" s="14"/>
    </row>
    <row r="26" spans="2:23" ht="18" customHeight="1" x14ac:dyDescent="0.55000000000000004">
      <c r="B26" s="7"/>
      <c r="C26" s="83"/>
      <c r="D26" s="77"/>
    </row>
    <row r="27" spans="2:23" ht="18" customHeight="1" x14ac:dyDescent="0.55000000000000004">
      <c r="B27" s="7"/>
      <c r="C27" s="78"/>
      <c r="D27" s="78"/>
    </row>
    <row r="28" spans="2:23" ht="18" customHeight="1" x14ac:dyDescent="0.55000000000000004">
      <c r="C28" s="1"/>
      <c r="D28" s="1"/>
    </row>
  </sheetData>
  <dataConsolidate/>
  <mergeCells count="10">
    <mergeCell ref="E8:F8"/>
    <mergeCell ref="E9:F9"/>
    <mergeCell ref="B3:C4"/>
    <mergeCell ref="B6:B7"/>
    <mergeCell ref="C6:C7"/>
    <mergeCell ref="E3:F3"/>
    <mergeCell ref="E4:F4"/>
    <mergeCell ref="E5:F5"/>
    <mergeCell ref="E6:F6"/>
    <mergeCell ref="E7:F7"/>
  </mergeCells>
  <phoneticPr fontId="1"/>
  <conditionalFormatting sqref="F13:F22">
    <cfRule type="containsText" dxfId="97" priority="1" operator="containsText" text="女">
      <formula>NOT(ISERROR(SEARCH("女",F13)))</formula>
    </cfRule>
    <cfRule type="containsText" dxfId="96" priority="2" operator="containsText" text="男">
      <formula>NOT(ISERROR(SEARCH("男",F13)))</formula>
    </cfRule>
  </conditionalFormatting>
  <dataValidations count="1">
    <dataValidation type="list" allowBlank="1" showInputMessage="1" showErrorMessage="1" sqref="I13:S22" xr:uid="{56007916-B3DF-4EBA-93EA-4A1E99FCA81D}">
      <formula1>"●"</formula1>
    </dataValidation>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24</vt:i4>
      </vt:variant>
    </vt:vector>
  </HeadingPairs>
  <TitlesOfParts>
    <vt:vector size="31" baseType="lpstr">
      <vt:lpstr>表紙</vt:lpstr>
      <vt:lpstr>入力シート</vt:lpstr>
      <vt:lpstr>受診者マスタ</vt:lpstr>
      <vt:lpstr>会社マスタ</vt:lpstr>
      <vt:lpstr>検診コースマスタ</vt:lpstr>
      <vt:lpstr>【原本】雑費請求書</vt:lpstr>
      <vt:lpstr>【原本】受付名簿</vt:lpstr>
      <vt:lpstr>【原本】雑費請求書!Print_Area</vt:lpstr>
      <vt:lpstr>入力シート!オプション1</vt:lpstr>
      <vt:lpstr>入力シート!オプション2</vt:lpstr>
      <vt:lpstr>入力シート!オプション3</vt:lpstr>
      <vt:lpstr>入力シート!オプション4</vt:lpstr>
      <vt:lpstr>入力シート!オプション5</vt:lpstr>
      <vt:lpstr>入力シート!オプション6</vt:lpstr>
      <vt:lpstr>入力シート!オプション7</vt:lpstr>
      <vt:lpstr>入力シート!オプション8</vt:lpstr>
      <vt:lpstr>コースリスト</vt:lpstr>
      <vt:lpstr>【原本】雑費請求書!ご請求金額</vt:lpstr>
      <vt:lpstr>【原本】雑費請求書!宛名</vt:lpstr>
      <vt:lpstr>入力シート!会社名</vt:lpstr>
      <vt:lpstr>会社名リスト</vt:lpstr>
      <vt:lpstr>【原本】雑費請求書!合計</vt:lpstr>
      <vt:lpstr>入力シート!氏名</vt:lpstr>
      <vt:lpstr>入力シート!氏名リスト元</vt:lpstr>
      <vt:lpstr>【原本】雑費請求書!受診人数</vt:lpstr>
      <vt:lpstr>入力シート!受付No</vt:lpstr>
      <vt:lpstr>【原本】雑費請求書!請求期間</vt:lpstr>
      <vt:lpstr>【原本】受付名簿!日付</vt:lpstr>
      <vt:lpstr>入力シート!日付</vt:lpstr>
      <vt:lpstr>入力シート!備考</vt:lpstr>
      <vt:lpstr>入力シート!便潜血</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ネコ キタノ</dc:creator>
  <cp:lastModifiedBy>user</cp:lastModifiedBy>
  <cp:lastPrinted>2025-11-17T01:18:26Z</cp:lastPrinted>
  <dcterms:created xsi:type="dcterms:W3CDTF">2025-08-18T06:56:50Z</dcterms:created>
  <dcterms:modified xsi:type="dcterms:W3CDTF">2025-12-01T07:16:46Z</dcterms:modified>
</cp:coreProperties>
</file>